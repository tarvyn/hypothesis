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9e93525d164c18" /></Relationships>
</file>

<file path=xl/workbook.xml><?xml version="1.0" encoding="utf-8"?>
<x:workbook xmlns:x="http://schemas.openxmlformats.org/spreadsheetml/2006/main">
  <x:sheets>
    <x:sheet xmlns:r="http://schemas.openxmlformats.org/officeDocument/2006/relationships" name="Cover" sheetId="1" r:id="R87634dd605c64fed"/>
    <x:sheet xmlns:r="http://schemas.openxmlformats.org/officeDocument/2006/relationships" name="Assumptions" sheetId="2" r:id="R3aa8095692af418a"/>
    <x:sheet xmlns:r="http://schemas.openxmlformats.org/officeDocument/2006/relationships" name="DCF Model" sheetId="3" r:id="Rfd0cb212a1de4f66"/>
    <x:sheet xmlns:r="http://schemas.openxmlformats.org/officeDocument/2006/relationships" name="Sensitivities" sheetId="4" r:id="R3daa0bf366b34f6f"/>
    <x:sheet xmlns:r="http://schemas.openxmlformats.org/officeDocument/2006/relationships" name="Checks" sheetId="5" r:id="R6b381f0bf4e343a8"/>
    <x:sheet xmlns:r="http://schemas.openxmlformats.org/officeDocument/2006/relationships" name="Sources" sheetId="6" r:id="R97f6c28dc2c44a36"/>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200" formatCode="$0.00;[Red]($0.00);-"/>
    <x:numFmt numFmtId="201" formatCode="0.0%;[Red](0.0%);-"/>
    <x:numFmt numFmtId="202" formatCode="$#,##0;[Red]($#,##0);-"/>
    <x:numFmt numFmtId="203" formatCode="0.0x;[Red](0.0x);-"/>
    <x:numFmt numFmtId="204" formatCode="0.00%;[Red](0.00%);-"/>
    <x:numFmt numFmtId="205" formatCode="0.00x"/>
    <x:numFmt numFmtId="206" formatCode="$#,##0.0;[Red]($#,##0.0);-"/>
    <x:numFmt numFmtId="207" formatCode="#,##0.0"/>
    <x:numFmt numFmtId="208" formatCode="0.000x"/>
  </x:numFmts>
  <x:fonts count="22">
    <x:font>
      <x:sz val="11"/>
      <x:name val="Carlito"/>
    </x:font>
    <x:font>
      <x:b/>
      <x:sz val="16"/>
      <x:color rgb="FFFFFFFF"/>
      <x:name val="Carlito"/>
    </x:font>
    <x:font>
      <x:i/>
      <x:sz val="11"/>
      <x:color rgb="FF595959"/>
      <x:name val="Carlito"/>
    </x:font>
    <x:font>
      <x:b/>
      <x:sz val="11"/>
      <x:color rgb="FFFFFFFF"/>
      <x:name val="Carlito"/>
    </x:font>
    <x:font>
      <x:b/>
      <x:sz val="11"/>
      <x:color rgb="FF000000"/>
      <x:name val="Carlito"/>
    </x:font>
    <x:font>
      <x:b/>
      <x:sz val="12"/>
      <x:name val="Carlito"/>
    </x:font>
    <x:font>
      <x:b/>
      <x:sz val="12"/>
      <x:color rgb="FF000000"/>
      <x:name val="Carlito"/>
    </x:font>
    <x:font>
      <x:b/>
      <x:sz val="11"/>
      <x:name val="Carlito"/>
    </x:font>
    <x:font>
      <x:sz val="11"/>
      <x:color rgb="FF0000FF"/>
      <x:name val="Carlito"/>
    </x:font>
    <x:font>
      <x:sz val="11"/>
      <x:color rgb="FF008000"/>
      <x:name val="Carlito"/>
    </x:font>
    <x:font>
      <x:b/>
      <x:sz val="16"/>
      <x:color rgb="FFFFFFFF"/>
      <x:name val="Arial"/>
    </x:font>
    <x:font>
      <x:i/>
      <x:sz val="11"/>
      <x:color rgb="FF595959"/>
      <x:name val="Arial"/>
    </x:font>
    <x:font>
      <x:sz val="11"/>
      <x:name val="Arial"/>
    </x:font>
    <x:font>
      <x:b/>
      <x:sz val="11"/>
      <x:color rgb="FFFFFFFF"/>
      <x:name val="Arial"/>
    </x:font>
    <x:font>
      <x:b/>
      <x:sz val="11"/>
      <x:color rgb="FF000000"/>
      <x:name val="Arial"/>
    </x:font>
    <x:font>
      <x:b/>
      <x:sz val="12"/>
      <x:name val="Arial"/>
    </x:font>
    <x:font>
      <x:b/>
      <x:sz val="12"/>
      <x:color rgb="FF000000"/>
      <x:name val="Arial"/>
    </x:font>
    <x:font>
      <x:b/>
      <x:sz val="11"/>
      <x:name val="Arial"/>
    </x:font>
    <x:font>
      <x:sz val="11"/>
      <x:color rgb="FF0000FF"/>
      <x:name val="Arial"/>
    </x:font>
    <x:font>
      <x:sz val="11"/>
      <x:color rgb="FF008000"/>
      <x:name val="Arial"/>
    </x:font>
    <x:font>
      <x:sz val="11"/>
      <x:color rgb="FF000000"/>
      <x:name val="Carlito"/>
    </x:font>
    <x:font>
      <x:sz val="11"/>
      <x:color rgb="FF000000"/>
      <x:name val="Arial"/>
    </x:font>
  </x:fonts>
  <x:fills count="10">
    <x:fill>
      <x:patternFill patternType="none"/>
    </x:fill>
    <x:fill>
      <x:patternFill patternType="gray125"/>
    </x:fill>
    <x:fill>
      <x:patternFill patternType="solid">
        <x:fgColor rgb="FF16324F"/>
      </x:patternFill>
    </x:fill>
    <x:fill>
      <x:patternFill patternType="solid">
        <x:fgColor rgb="FFE7E6E6"/>
      </x:patternFill>
    </x:fill>
    <x:fill>
      <x:patternFill patternType="solid">
        <x:fgColor rgb="FFDCE6F1"/>
      </x:patternFill>
    </x:fill>
    <x:fill>
      <x:patternFill patternType="solid">
        <x:fgColor rgb="FFEAF2F8"/>
      </x:patternFill>
    </x:fill>
    <x:fill>
      <x:patternFill patternType="solid">
        <x:fgColor rgb="FFF7F9FB"/>
      </x:patternFill>
    </x:fill>
    <x:fill>
      <x:patternFill patternType="solid">
        <x:fgColor rgb="FFFCE4D6"/>
      </x:patternFill>
    </x:fill>
    <x:fill>
      <x:patternFill patternType="solid">
        <x:fgColor rgb="FFFFF2CC"/>
      </x:patternFill>
    </x:fill>
    <x:fill>
      <x:patternFill patternType="solid">
        <x:fgColor rgb="FFE2F0D9"/>
      </x:patternFill>
    </x:fill>
  </x:fills>
  <x:borders count="26">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
      <x:left style="thin">
        <x:color rgb="FFD9E1F2"/>
      </x:left>
      <x:top style="thin">
        <x:color rgb="FFD9E1F2"/>
      </x:top>
      <x:bottom style="thin">
        <x:color rgb="FFD9E1F2"/>
      </x:bottom>
    </x:border>
    <x:border>
      <x:top style="thin">
        <x:color rgb="FFD9E1F2"/>
      </x:top>
      <x:bottom style="thin">
        <x:color rgb="FFD9E1F2"/>
      </x:bottom>
    </x:border>
    <x:border>
      <x:right style="thin">
        <x:color rgb="FFD9E1F2"/>
      </x:right>
      <x:top style="thin">
        <x:color rgb="FFD9E1F2"/>
      </x:top>
      <x:bottom style="thin">
        <x:color rgb="FFD9E1F2"/>
      </x:bottom>
    </x:border>
    <x:border>
      <x:left style="thin">
        <x:color rgb="FFC9B458"/>
      </x:left>
      <x:top style="thin">
        <x:color rgb="FFC9B458"/>
      </x:top>
    </x:border>
    <x:border>
      <x:top style="thin">
        <x:color rgb="FFC9B458"/>
      </x:top>
    </x:border>
    <x:border>
      <x:right style="thin">
        <x:color rgb="FFC9B458"/>
      </x:right>
      <x:top style="thin">
        <x:color rgb="FFC9B458"/>
      </x:top>
    </x:border>
    <x:border>
      <x:left style="thin">
        <x:color rgb="FFC9B458"/>
      </x:left>
    </x:border>
    <x:border>
      <x:right style="thin">
        <x:color rgb="FFC9B458"/>
      </x:right>
    </x:border>
    <x:border>
      <x:left style="thin">
        <x:color rgb="FFC9B458"/>
      </x:left>
      <x:bottom style="thin">
        <x:color rgb="FFC9B458"/>
      </x:bottom>
    </x:border>
    <x:border>
      <x:bottom style="thin">
        <x:color rgb="FFC9B458"/>
      </x:bottom>
    </x:border>
    <x:border>
      <x:right style="thin">
        <x:color rgb="FFC9B458"/>
      </x:right>
      <x:bottom style="thin">
        <x:color rgb="FFC9B458"/>
      </x:bottom>
    </x:border>
    <x:border>
      <x:top style="thin">
        <x:color rgb="FF595959"/>
      </x:top>
      <x:bottom style="double">
        <x:color rgb="FF595959"/>
      </x:bottom>
    </x:border>
    <x:border>
      <x:top style="thin">
        <x:color rgb="FF595959"/>
      </x:top>
    </x:border>
    <x:border>
      <x:bottom style="double">
        <x:color rgb="FF595959"/>
      </x:bottom>
    </x:border>
    <x:border>
      <x:left style="thin">
        <x:color rgb="FF0F766E"/>
      </x:left>
      <x:top style="thin">
        <x:color rgb="FF0F766E"/>
      </x:top>
      <x:bottom style="thin">
        <x:color rgb="FF0F766E"/>
      </x:bottom>
    </x:border>
    <x:border>
      <x:right style="thin">
        <x:color rgb="FF0F766E"/>
      </x:right>
      <x:top style="thin">
        <x:color rgb="FF0F766E"/>
      </x:top>
      <x:bottom style="thin">
        <x:color rgb="FF0F766E"/>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medium">
        <x:color rgb="FF0F766E"/>
      </x:left>
      <x:right style="medium">
        <x:color rgb="FF0F766E"/>
      </x:right>
      <x:top style="medium">
        <x:color rgb="FF0F766E"/>
      </x:top>
      <x:bottom style="medium">
        <x:color rgb="FF0F766E"/>
      </x:bottom>
    </x:border>
    <x:border>
      <x:left style="medium">
        <x:color rgb="FFC9B458"/>
      </x:left>
      <x:top style="medium">
        <x:color rgb="FFC9B458"/>
      </x:top>
      <x:bottom style="medium">
        <x:color rgb="FFC9B458"/>
      </x:bottom>
    </x:border>
    <x:border>
      <x:right style="medium">
        <x:color rgb="FFC9B458"/>
      </x:right>
      <x:top style="medium">
        <x:color rgb="FFC9B458"/>
      </x:top>
      <x:bottom style="medium">
        <x:color rgb="FFC9B458"/>
      </x:bottom>
    </x:border>
  </x:borders>
  <x:cellStyleXfs count="1">
    <x:xf numFmtId="0" fontId="0" fillId="0" borderId="0"/>
  </x:cellStyleXfs>
  <x:cellXfs count="24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vertical="center"/>
    </x:xf>
    <x:xf numFmtId="0" fontId="0"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4" fillId="4" borderId="2" xfId="0" applyNumberFormat="1" applyFont="1" applyFill="1" applyBorder="1"/>
    <x:xf numFmtId="0" fontId="4" fillId="4" borderId="3" xfId="0" applyNumberFormat="1" applyFont="1" applyFill="1" applyBorder="1"/>
    <x:xf numFmtId="0" fontId="4" fillId="4" borderId="1" xfId="0" applyNumberFormat="1" applyFont="1" applyFill="1" applyBorder="1" applyAlignment="1">
      <x:alignment wrapText="1"/>
    </x:xf>
    <x:xf numFmtId="0" fontId="4" fillId="4" borderId="2" xfId="0" applyNumberFormat="1" applyFont="1" applyFill="1" applyBorder="1" applyAlignment="1">
      <x:alignment wrapText="1"/>
    </x:xf>
    <x:xf numFmtId="0" fontId="4" fillId="4" borderId="3" xfId="0" applyNumberFormat="1" applyFont="1" applyFill="1" applyBorder="1" applyAlignment="1">
      <x:alignment wrapText="1"/>
    </x:xf>
    <x:xf numFmtId="200" fontId="0" fillId="0" borderId="0" xfId="0" applyNumberFormat="1" applyFont="1" applyFill="1" applyBorder="1"/>
    <x:xf numFmtId="201" fontId="0" fillId="0" borderId="0" xfId="0" applyNumberFormat="1" applyFont="1" applyFill="1" applyBorder="1"/>
    <x:xf numFmtId="200" fontId="0" fillId="5" borderId="0" xfId="0" applyNumberFormat="1" applyFont="1" applyFill="1" applyBorder="1"/>
    <x:xf numFmtId="201" fontId="0" fillId="5" borderId="0" xfId="0" applyNumberFormat="1" applyFont="1" applyFill="1" applyBorder="1"/>
    <x:xf numFmtId="0" fontId="0" fillId="5" borderId="0" xfId="0" applyNumberFormat="1" applyFont="1" applyFill="1" applyBorder="1"/>
    <x:xf numFmtId="200" fontId="5" fillId="5" borderId="0" xfId="0" applyNumberFormat="1" applyFont="1" applyFill="1" applyBorder="1"/>
    <x:xf numFmtId="201" fontId="5" fillId="5" borderId="0" xfId="0" applyNumberFormat="1" applyFont="1" applyFill="1" applyBorder="1"/>
    <x:xf numFmtId="0" fontId="5" fillId="5" borderId="0" xfId="0" applyNumberFormat="1" applyFont="1" applyFill="1" applyBorder="1"/>
    <x:xf numFmtId="200" fontId="5" fillId="5" borderId="1" xfId="0" applyNumberFormat="1" applyFont="1" applyFill="1" applyBorder="1"/>
    <x:xf numFmtId="200" fontId="5" fillId="5" borderId="2" xfId="0" applyNumberFormat="1" applyFont="1" applyFill="1" applyBorder="1"/>
    <x:xf numFmtId="201" fontId="5" fillId="5" borderId="2" xfId="0" applyNumberFormat="1" applyFont="1" applyFill="1" applyBorder="1"/>
    <x:xf numFmtId="0" fontId="5" fillId="5" borderId="3" xfId="0" applyNumberFormat="1" applyFont="1" applyFill="1" applyBorder="1"/>
    <x:xf numFmtId="200" fontId="6" fillId="5" borderId="2" xfId="0" applyNumberFormat="1" applyFont="1" applyFill="1" applyBorder="1"/>
    <x:xf numFmtId="202" fontId="0" fillId="0" borderId="0" xfId="0" applyNumberFormat="1" applyFont="1" applyFill="1" applyBorder="1"/>
    <x:xf numFmtId="203" fontId="0" fillId="0" borderId="0" xfId="0" applyNumberFormat="1" applyFont="1" applyFill="1" applyBorder="1"/>
    <x:xf numFmtId="202" fontId="0" fillId="6" borderId="0" xfId="0" applyNumberFormat="1" applyFont="1" applyFill="1" applyBorder="1"/>
    <x:xf numFmtId="201" fontId="0" fillId="6" borderId="0" xfId="0" applyNumberFormat="1" applyFont="1" applyFill="1" applyBorder="1"/>
    <x:xf numFmtId="203" fontId="0" fillId="6" borderId="0" xfId="0" applyNumberFormat="1" applyFont="1" applyFill="1" applyBorder="1"/>
    <x:xf numFmtId="202" fontId="0" fillId="6" borderId="4" xfId="0" applyNumberFormat="1" applyFont="1" applyFill="1" applyBorder="1"/>
    <x:xf numFmtId="202" fontId="0" fillId="6" borderId="5" xfId="0" applyNumberFormat="1" applyFont="1" applyFill="1" applyBorder="1"/>
    <x:xf numFmtId="201" fontId="0" fillId="6" borderId="5" xfId="0" applyNumberFormat="1" applyFont="1" applyFill="1" applyBorder="1"/>
    <x:xf numFmtId="203" fontId="0" fillId="6" borderId="6" xfId="0" applyNumberFormat="1" applyFont="1" applyFill="1" applyBorder="1"/>
    <x:xf numFmtId="0" fontId="0" fillId="7" borderId="0" xfId="0" applyNumberFormat="1" applyFont="1" applyFill="1" applyBorder="1"/>
    <x:xf numFmtId="0" fontId="0" fillId="7" borderId="0" xfId="0" applyNumberFormat="1" applyFont="1" applyFill="1" applyBorder="1" applyAlignment="1">
      <x:alignment wrapText="1"/>
    </x:xf>
    <x:xf numFmtId="0" fontId="0" fillId="8" borderId="0" xfId="0" applyNumberFormat="1" applyFont="1" applyFill="1" applyBorder="1"/>
    <x:xf numFmtId="0" fontId="0" fillId="8" borderId="7" xfId="0" applyNumberFormat="1" applyFont="1" applyFill="1" applyBorder="1"/>
    <x:xf numFmtId="0" fontId="0" fillId="8" borderId="8" xfId="0" applyNumberFormat="1" applyFont="1" applyFill="1" applyBorder="1"/>
    <x:xf numFmtId="0" fontId="0" fillId="8" borderId="9" xfId="0" applyNumberFormat="1" applyFont="1" applyFill="1" applyBorder="1"/>
    <x:xf numFmtId="0" fontId="0" fillId="8" borderId="10" xfId="0" applyNumberFormat="1" applyFont="1" applyFill="1" applyBorder="1"/>
    <x:xf numFmtId="0" fontId="0" fillId="8" borderId="11" xfId="0" applyNumberFormat="1" applyFont="1" applyFill="1" applyBorder="1"/>
    <x:xf numFmtId="0" fontId="0" fillId="8" borderId="12" xfId="0" applyNumberFormat="1" applyFont="1" applyFill="1" applyBorder="1"/>
    <x:xf numFmtId="0" fontId="0" fillId="8" borderId="13" xfId="0" applyNumberFormat="1" applyFont="1" applyFill="1" applyBorder="1"/>
    <x:xf numFmtId="0" fontId="0" fillId="8" borderId="14" xfId="0" applyNumberFormat="1" applyFont="1" applyFill="1" applyBorder="1"/>
    <x:xf numFmtId="0" fontId="0" fillId="8" borderId="7" xfId="0" applyNumberFormat="1" applyFont="1" applyFill="1" applyBorder="1" applyAlignment="1">
      <x:alignment wrapText="1"/>
    </x:xf>
    <x:xf numFmtId="0" fontId="0" fillId="8" borderId="8" xfId="0" applyNumberFormat="1" applyFont="1" applyFill="1" applyBorder="1" applyAlignment="1">
      <x:alignment wrapText="1"/>
    </x:xf>
    <x:xf numFmtId="0" fontId="0" fillId="8" borderId="9" xfId="0" applyNumberFormat="1" applyFont="1" applyFill="1" applyBorder="1" applyAlignment="1">
      <x:alignment wrapText="1"/>
    </x:xf>
    <x:xf numFmtId="0" fontId="0" fillId="8" borderId="10" xfId="0" applyNumberFormat="1" applyFont="1" applyFill="1" applyBorder="1" applyAlignment="1">
      <x:alignment wrapText="1"/>
    </x:xf>
    <x:xf numFmtId="0" fontId="0" fillId="8" borderId="0" xfId="0" applyNumberFormat="1" applyFont="1" applyFill="1" applyBorder="1" applyAlignment="1">
      <x:alignment wrapText="1"/>
    </x:xf>
    <x:xf numFmtId="0" fontId="0" fillId="8" borderId="11" xfId="0" applyNumberFormat="1" applyFont="1" applyFill="1" applyBorder="1" applyAlignment="1">
      <x:alignment wrapText="1"/>
    </x:xf>
    <x:xf numFmtId="0" fontId="0" fillId="8" borderId="12" xfId="0" applyNumberFormat="1" applyFont="1" applyFill="1" applyBorder="1" applyAlignment="1">
      <x:alignment wrapText="1"/>
    </x:xf>
    <x:xf numFmtId="0" fontId="0" fillId="8" borderId="13" xfId="0" applyNumberFormat="1" applyFont="1" applyFill="1" applyBorder="1" applyAlignment="1">
      <x:alignment wrapText="1"/>
    </x:xf>
    <x:xf numFmtId="0" fontId="0" fillId="8" borderId="14" xfId="0" applyNumberFormat="1" applyFont="1" applyFill="1" applyBorder="1" applyAlignment="1">
      <x:alignment wrapText="1"/>
    </x:xf>
    <x:xf numFmtId="0" fontId="0" fillId="8" borderId="7" xfId="0" applyNumberFormat="1" applyFont="1" applyFill="1" applyBorder="1" applyAlignment="1">
      <x:alignment vertical="top" wrapText="1"/>
    </x:xf>
    <x:xf numFmtId="0" fontId="0" fillId="8" borderId="8" xfId="0" applyNumberFormat="1" applyFont="1" applyFill="1" applyBorder="1" applyAlignment="1">
      <x:alignment vertical="top" wrapText="1"/>
    </x:xf>
    <x:xf numFmtId="0" fontId="0" fillId="8" borderId="9" xfId="0" applyNumberFormat="1" applyFont="1" applyFill="1" applyBorder="1" applyAlignment="1">
      <x:alignment vertical="top" wrapText="1"/>
    </x:xf>
    <x:xf numFmtId="0" fontId="0" fillId="8" borderId="1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0" fillId="8" borderId="11" xfId="0" applyNumberFormat="1" applyFont="1" applyFill="1" applyBorder="1" applyAlignment="1">
      <x:alignment vertical="top" wrapText="1"/>
    </x:xf>
    <x:xf numFmtId="0" fontId="0" fillId="8" borderId="12" xfId="0" applyNumberFormat="1" applyFont="1" applyFill="1" applyBorder="1" applyAlignment="1">
      <x:alignment vertical="top" wrapText="1"/>
    </x:xf>
    <x:xf numFmtId="0" fontId="0" fillId="8" borderId="13" xfId="0" applyNumberFormat="1" applyFont="1" applyFill="1" applyBorder="1" applyAlignment="1">
      <x:alignment vertical="top" wrapText="1"/>
    </x:xf>
    <x:xf numFmtId="0" fontId="0" fillId="8" borderId="14" xfId="0" applyNumberFormat="1" applyFont="1" applyFill="1" applyBorder="1" applyAlignment="1">
      <x:alignment vertical="top" wrapText="1"/>
    </x:xf>
    <x:xf numFmtId="0" fontId="7" fillId="0" borderId="0" xfId="0" applyNumberFormat="1" applyFont="1" applyFill="1" applyBorder="1"/>
    <x:xf numFmtId="0" fontId="8" fillId="8" borderId="0" xfId="0" applyNumberFormat="1" applyFont="1" applyFill="1" applyBorder="1"/>
    <x:xf numFmtId="0" fontId="9" fillId="0" borderId="0" xfId="0" applyNumberFormat="1" applyFont="1" applyFill="1" applyBorder="1"/>
    <x:xf numFmtId="0" fontId="10" fillId="2" borderId="0" xfId="0" applyNumberFormat="1" applyFont="1" applyFill="1" applyBorder="1" applyAlignment="1">
      <x:alignment vertical="center"/>
    </x:xf>
    <x:xf numFmtId="0" fontId="11" fillId="3" borderId="0" xfId="0" applyNumberFormat="1" applyFont="1" applyFill="1" applyBorder="1" applyAlignment="1">
      <x:alignment wrapText="1"/>
    </x:xf>
    <x:xf numFmtId="0" fontId="12" fillId="0" borderId="0" xfId="0" applyNumberFormat="1" applyFont="1" applyFill="1" applyBorder="1"/>
    <x:xf numFmtId="0" fontId="13" fillId="2" borderId="0" xfId="0" applyNumberFormat="1" applyFont="1" applyFill="1" applyBorder="1" applyAlignment="1">
      <x:alignment vertical="center"/>
    </x:xf>
    <x:xf numFmtId="0" fontId="14" fillId="4" borderId="1" xfId="0" applyNumberFormat="1" applyFont="1" applyFill="1" applyBorder="1" applyAlignment="1">
      <x:alignment wrapText="1"/>
    </x:xf>
    <x:xf numFmtId="0" fontId="14" fillId="4" borderId="2" xfId="0" applyNumberFormat="1" applyFont="1" applyFill="1" applyBorder="1" applyAlignment="1">
      <x:alignment wrapText="1"/>
    </x:xf>
    <x:xf numFmtId="0" fontId="14" fillId="4" borderId="3" xfId="0" applyNumberFormat="1" applyFont="1" applyFill="1" applyBorder="1" applyAlignment="1">
      <x:alignment wrapText="1"/>
    </x:xf>
    <x:xf numFmtId="200" fontId="15" fillId="5" borderId="1" xfId="0" applyNumberFormat="1" applyFont="1" applyFill="1" applyBorder="1"/>
    <x:xf numFmtId="200" fontId="16" fillId="5" borderId="2" xfId="0" applyNumberFormat="1" applyFont="1" applyFill="1" applyBorder="1"/>
    <x:xf numFmtId="201" fontId="15" fillId="5" borderId="2" xfId="0" applyNumberFormat="1" applyFont="1" applyFill="1" applyBorder="1"/>
    <x:xf numFmtId="0" fontId="15" fillId="5" borderId="3" xfId="0" applyNumberFormat="1" applyFont="1" applyFill="1" applyBorder="1"/>
    <x:xf numFmtId="202" fontId="12" fillId="6" borderId="4" xfId="0" applyNumberFormat="1" applyFont="1" applyFill="1" applyBorder="1"/>
    <x:xf numFmtId="202" fontId="12" fillId="6" borderId="5" xfId="0" applyNumberFormat="1" applyFont="1" applyFill="1" applyBorder="1"/>
    <x:xf numFmtId="201" fontId="12" fillId="6" borderId="5" xfId="0" applyNumberFormat="1" applyFont="1" applyFill="1" applyBorder="1"/>
    <x:xf numFmtId="203" fontId="12" fillId="6" borderId="6" xfId="0" applyNumberFormat="1" applyFont="1" applyFill="1" applyBorder="1"/>
    <x:xf numFmtId="202" fontId="12" fillId="6" borderId="0" xfId="0" applyNumberFormat="1" applyFont="1" applyFill="1" applyBorder="1"/>
    <x:xf numFmtId="201" fontId="12" fillId="6" borderId="0" xfId="0" applyNumberFormat="1" applyFont="1" applyFill="1" applyBorder="1"/>
    <x:xf numFmtId="0" fontId="12" fillId="7" borderId="0" xfId="0" applyNumberFormat="1" applyFont="1" applyFill="1" applyBorder="1" applyAlignment="1">
      <x:alignment wrapText="1"/>
    </x:xf>
    <x:xf numFmtId="0" fontId="12" fillId="8" borderId="7" xfId="0" applyNumberFormat="1" applyFont="1" applyFill="1" applyBorder="1" applyAlignment="1">
      <x:alignment vertical="top" wrapText="1"/>
    </x:xf>
    <x:xf numFmtId="0" fontId="12" fillId="8" borderId="8" xfId="0" applyNumberFormat="1" applyFont="1" applyFill="1" applyBorder="1" applyAlignment="1">
      <x:alignment vertical="top" wrapText="1"/>
    </x:xf>
    <x:xf numFmtId="0" fontId="12" fillId="8" borderId="9" xfId="0" applyNumberFormat="1" applyFont="1" applyFill="1" applyBorder="1" applyAlignment="1">
      <x:alignment vertical="top" wrapText="1"/>
    </x:xf>
    <x:xf numFmtId="0" fontId="12" fillId="8" borderId="10" xfId="0" applyNumberFormat="1" applyFont="1" applyFill="1" applyBorder="1" applyAlignment="1">
      <x:alignment vertical="top" wrapText="1"/>
    </x:xf>
    <x:xf numFmtId="0" fontId="12" fillId="8" borderId="0" xfId="0" applyNumberFormat="1" applyFont="1" applyFill="1" applyBorder="1" applyAlignment="1">
      <x:alignment vertical="top" wrapText="1"/>
    </x:xf>
    <x:xf numFmtId="0" fontId="12" fillId="8" borderId="11" xfId="0" applyNumberFormat="1" applyFont="1" applyFill="1" applyBorder="1" applyAlignment="1">
      <x:alignment vertical="top" wrapText="1"/>
    </x:xf>
    <x:xf numFmtId="0" fontId="12" fillId="8" borderId="12" xfId="0" applyNumberFormat="1" applyFont="1" applyFill="1" applyBorder="1" applyAlignment="1">
      <x:alignment vertical="top" wrapText="1"/>
    </x:xf>
    <x:xf numFmtId="0" fontId="12" fillId="8" borderId="13" xfId="0" applyNumberFormat="1" applyFont="1" applyFill="1" applyBorder="1" applyAlignment="1">
      <x:alignment vertical="top" wrapText="1"/>
    </x:xf>
    <x:xf numFmtId="0" fontId="12" fillId="8" borderId="14" xfId="0" applyNumberFormat="1" applyFont="1" applyFill="1" applyBorder="1" applyAlignment="1">
      <x:alignment vertical="top" wrapText="1"/>
    </x:xf>
    <x:xf numFmtId="0" fontId="17" fillId="0" borderId="0" xfId="0" applyNumberFormat="1" applyFont="1" applyFill="1" applyBorder="1"/>
    <x:xf numFmtId="0" fontId="18" fillId="8" borderId="0" xfId="0" applyNumberFormat="1" applyFont="1" applyFill="1" applyBorder="1"/>
    <x:xf numFmtId="0" fontId="19" fillId="0" borderId="0" xfId="0" applyNumberFormat="1" applyFont="1" applyFill="1" applyBorder="1"/>
    <x:xf numFmtId="0" fontId="11" fillId="3" borderId="0" xfId="0" applyNumberFormat="1" applyFont="1" applyFill="1" applyBorder="1" applyAlignment="1">
      <x:alignment vertical="center" wrapText="1"/>
    </x:xf>
    <x:xf numFmtId="0" fontId="12" fillId="0" borderId="0" xfId="0" applyNumberFormat="1" applyFont="1" applyFill="1" applyBorder="1" applyAlignment="1">
      <x:alignment vertical="center"/>
    </x:xf>
    <x:xf numFmtId="0" fontId="14" fillId="4" borderId="1" xfId="0" applyNumberFormat="1" applyFont="1" applyFill="1" applyBorder="1" applyAlignment="1">
      <x:alignment vertical="center" wrapText="1"/>
    </x:xf>
    <x:xf numFmtId="0" fontId="14" fillId="4" borderId="2" xfId="0" applyNumberFormat="1" applyFont="1" applyFill="1" applyBorder="1" applyAlignment="1">
      <x:alignment vertical="center" wrapText="1"/>
    </x:xf>
    <x:xf numFmtId="0" fontId="14" fillId="4" borderId="3" xfId="0" applyNumberFormat="1" applyFont="1" applyFill="1" applyBorder="1" applyAlignment="1">
      <x:alignment vertical="center" wrapText="1"/>
    </x:xf>
    <x:xf numFmtId="200" fontId="15" fillId="5" borderId="1" xfId="0" applyNumberFormat="1" applyFont="1" applyFill="1" applyBorder="1" applyAlignment="1">
      <x:alignment vertical="center"/>
    </x:xf>
    <x:xf numFmtId="200" fontId="16" fillId="5" borderId="2" xfId="0" applyNumberFormat="1" applyFont="1" applyFill="1" applyBorder="1" applyAlignment="1">
      <x:alignment vertical="center"/>
    </x:xf>
    <x:xf numFmtId="201" fontId="15" fillId="5" borderId="2" xfId="0" applyNumberFormat="1" applyFont="1" applyFill="1" applyBorder="1" applyAlignment="1">
      <x:alignment vertical="center"/>
    </x:xf>
    <x:xf numFmtId="0" fontId="15" fillId="5" borderId="3" xfId="0" applyNumberFormat="1" applyFont="1" applyFill="1" applyBorder="1" applyAlignment="1">
      <x:alignment vertical="center"/>
    </x:xf>
    <x:xf numFmtId="202" fontId="12" fillId="6" borderId="4" xfId="0" applyNumberFormat="1" applyFont="1" applyFill="1" applyBorder="1" applyAlignment="1">
      <x:alignment vertical="center"/>
    </x:xf>
    <x:xf numFmtId="202" fontId="12" fillId="6" borderId="5" xfId="0" applyNumberFormat="1" applyFont="1" applyFill="1" applyBorder="1" applyAlignment="1">
      <x:alignment vertical="center"/>
    </x:xf>
    <x:xf numFmtId="201" fontId="12" fillId="6" borderId="5" xfId="0" applyNumberFormat="1" applyFont="1" applyFill="1" applyBorder="1" applyAlignment="1">
      <x:alignment vertical="center"/>
    </x:xf>
    <x:xf numFmtId="203" fontId="12" fillId="6" borderId="6" xfId="0" applyNumberFormat="1" applyFont="1" applyFill="1" applyBorder="1" applyAlignment="1">
      <x:alignment vertical="center"/>
    </x:xf>
    <x:xf numFmtId="202" fontId="12" fillId="6" borderId="0" xfId="0" applyNumberFormat="1" applyFont="1" applyFill="1" applyBorder="1" applyAlignment="1">
      <x:alignment vertical="center"/>
    </x:xf>
    <x:xf numFmtId="201" fontId="12" fillId="6" borderId="0" xfId="0" applyNumberFormat="1" applyFont="1" applyFill="1" applyBorder="1" applyAlignment="1">
      <x:alignment vertical="center"/>
    </x:xf>
    <x:xf numFmtId="0" fontId="12" fillId="7" borderId="0" xfId="0" applyNumberFormat="1" applyFont="1" applyFill="1" applyBorder="1" applyAlignment="1">
      <x:alignment vertical="center" wrapText="1"/>
    </x:xf>
    <x:xf numFmtId="0" fontId="12" fillId="8" borderId="7" xfId="0" applyNumberFormat="1" applyFont="1" applyFill="1" applyBorder="1" applyAlignment="1">
      <x:alignment vertical="center" wrapText="1"/>
    </x:xf>
    <x:xf numFmtId="0" fontId="12" fillId="8" borderId="8" xfId="0" applyNumberFormat="1" applyFont="1" applyFill="1" applyBorder="1" applyAlignment="1">
      <x:alignment vertical="center" wrapText="1"/>
    </x:xf>
    <x:xf numFmtId="0" fontId="12" fillId="8" borderId="9" xfId="0" applyNumberFormat="1" applyFont="1" applyFill="1" applyBorder="1" applyAlignment="1">
      <x:alignment vertical="center" wrapText="1"/>
    </x:xf>
    <x:xf numFmtId="0" fontId="12" fillId="8" borderId="10" xfId="0" applyNumberFormat="1" applyFont="1" applyFill="1" applyBorder="1" applyAlignment="1">
      <x:alignment vertical="center" wrapText="1"/>
    </x:xf>
    <x:xf numFmtId="0" fontId="12" fillId="8" borderId="0" xfId="0" applyNumberFormat="1" applyFont="1" applyFill="1" applyBorder="1" applyAlignment="1">
      <x:alignment vertical="center" wrapText="1"/>
    </x:xf>
    <x:xf numFmtId="0" fontId="12" fillId="8" borderId="11" xfId="0" applyNumberFormat="1" applyFont="1" applyFill="1" applyBorder="1" applyAlignment="1">
      <x:alignment vertical="center" wrapText="1"/>
    </x:xf>
    <x:xf numFmtId="0" fontId="12" fillId="8" borderId="12" xfId="0" applyNumberFormat="1" applyFont="1" applyFill="1" applyBorder="1" applyAlignment="1">
      <x:alignment vertical="center" wrapText="1"/>
    </x:xf>
    <x:xf numFmtId="0" fontId="12" fillId="8" borderId="13" xfId="0" applyNumberFormat="1" applyFont="1" applyFill="1" applyBorder="1" applyAlignment="1">
      <x:alignment vertical="center" wrapText="1"/>
    </x:xf>
    <x:xf numFmtId="0" fontId="12" fillId="8" borderId="14" xfId="0" applyNumberFormat="1" applyFont="1" applyFill="1" applyBorder="1" applyAlignment="1">
      <x:alignment vertical="center" wrapText="1"/>
    </x:xf>
    <x:xf numFmtId="0" fontId="17" fillId="0" borderId="0" xfId="0" applyNumberFormat="1" applyFont="1" applyFill="1" applyBorder="1" applyAlignment="1">
      <x:alignment vertical="center"/>
    </x:xf>
    <x:xf numFmtId="0" fontId="18" fillId="8" borderId="0" xfId="0" applyNumberFormat="1" applyFont="1" applyFill="1" applyBorder="1" applyAlignment="1">
      <x:alignment vertical="center"/>
    </x:xf>
    <x:xf numFmtId="0" fontId="19" fillId="0" borderId="0" xfId="0" applyNumberFormat="1" applyFont="1" applyFill="1" applyBorder="1" applyAlignment="1">
      <x:alignment vertical="center"/>
    </x:xf>
    <x:xf numFmtId="201" fontId="8" fillId="0" borderId="0" xfId="0" applyNumberFormat="1" applyFont="1" applyFill="1" applyBorder="1"/>
    <x:xf numFmtId="201" fontId="8" fillId="8" borderId="0" xfId="0" applyNumberFormat="1" applyFont="1" applyFill="1" applyBorder="1"/>
    <x:xf numFmtId="204" fontId="0" fillId="0" borderId="0" xfId="0" applyNumberFormat="1" applyFont="1" applyFill="1" applyBorder="1"/>
    <x:xf numFmtId="204" fontId="8" fillId="0" borderId="0" xfId="0" applyNumberFormat="1" applyFont="1" applyFill="1" applyBorder="1"/>
    <x:xf numFmtId="204" fontId="8" fillId="8" borderId="0" xfId="0" applyNumberFormat="1" applyFont="1" applyFill="1" applyBorder="1"/>
    <x:xf numFmtId="205" fontId="0" fillId="0" borderId="0" xfId="0" applyNumberFormat="1" applyFont="1" applyFill="1" applyBorder="1"/>
    <x:xf numFmtId="205" fontId="8" fillId="0" borderId="0" xfId="0" applyNumberFormat="1" applyFont="1" applyFill="1" applyBorder="1"/>
    <x:xf numFmtId="205" fontId="8" fillId="8" borderId="0" xfId="0" applyNumberFormat="1" applyFont="1" applyFill="1" applyBorder="1"/>
    <x:xf numFmtId="200" fontId="8" fillId="0" borderId="0" xfId="0" applyNumberFormat="1" applyFont="1" applyFill="1" applyBorder="1"/>
    <x:xf numFmtId="200" fontId="8" fillId="8" borderId="0" xfId="0" applyNumberFormat="1" applyFont="1" applyFill="1" applyBorder="1"/>
    <x:xf numFmtId="0" fontId="4" fillId="0" borderId="0" xfId="0" applyNumberFormat="1" applyFont="1" applyFill="1" applyBorder="1"/>
    <x:xf numFmtId="204" fontId="4" fillId="0" borderId="0" xfId="0" applyNumberFormat="1" applyFont="1" applyFill="1" applyBorder="1"/>
    <x:xf numFmtId="0" fontId="4" fillId="0" borderId="15" xfId="0" applyNumberFormat="1" applyFont="1" applyFill="1" applyBorder="1"/>
    <x:xf numFmtId="204" fontId="4" fillId="0" borderId="15" xfId="0" applyNumberFormat="1" applyFont="1" applyFill="1" applyBorder="1"/>
    <x:xf numFmtId="206" fontId="0" fillId="0" borderId="0" xfId="0" applyNumberFormat="1" applyFont="1" applyFill="1" applyBorder="1"/>
    <x:xf numFmtId="207" fontId="0" fillId="0" borderId="0" xfId="0" applyNumberFormat="1" applyFont="1" applyFill="1" applyBorder="1"/>
    <x:xf numFmtId="206" fontId="8" fillId="0" borderId="0" xfId="0" applyNumberFormat="1" applyFont="1" applyFill="1" applyBorder="1"/>
    <x:xf numFmtId="207" fontId="8" fillId="0" borderId="0" xfId="0" applyNumberFormat="1" applyFont="1" applyFill="1" applyBorder="1"/>
    <x:xf numFmtId="206" fontId="8" fillId="8" borderId="0" xfId="0" applyNumberFormat="1" applyFont="1" applyFill="1" applyBorder="1"/>
    <x:xf numFmtId="207" fontId="8" fillId="8" borderId="0" xfId="0" applyNumberFormat="1" applyFont="1" applyFill="1" applyBorder="1"/>
    <x:xf numFmtId="206" fontId="4" fillId="0" borderId="0" xfId="0" applyNumberFormat="1" applyFont="1" applyFill="1" applyBorder="1"/>
    <x:xf numFmtId="0" fontId="4" fillId="0" borderId="16" xfId="0" applyNumberFormat="1" applyFont="1" applyFill="1" applyBorder="1"/>
    <x:xf numFmtId="206" fontId="4" fillId="0" borderId="16" xfId="0" applyNumberFormat="1" applyFont="1" applyFill="1" applyBorder="1"/>
    <x:xf numFmtId="0" fontId="4" fillId="0" borderId="17" xfId="0" applyNumberFormat="1" applyFont="1" applyFill="1" applyBorder="1"/>
    <x:xf numFmtId="206" fontId="4" fillId="0" borderId="17" xfId="0" applyNumberFormat="1" applyFont="1" applyFill="1" applyBorder="1"/>
    <x:xf numFmtId="0" fontId="0" fillId="0" borderId="0" xfId="0" applyNumberFormat="1" applyFont="1" applyFill="1" applyBorder="1" applyAlignment="1">
      <x:alignment wrapText="1"/>
    </x:xf>
    <x:xf numFmtId="0" fontId="4" fillId="0" borderId="16"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17" xfId="0" applyNumberFormat="1" applyFont="1" applyFill="1" applyBorder="1" applyAlignment="1">
      <x:alignment wrapText="1"/>
    </x:xf>
    <x:xf numFmtId="206" fontId="20" fillId="0" borderId="0" xfId="0" applyNumberFormat="1" applyFont="1" applyFill="1" applyBorder="1"/>
    <x:xf numFmtId="0" fontId="14" fillId="4" borderId="1" xfId="0" applyNumberFormat="1" applyFont="1" applyFill="1" applyBorder="1"/>
    <x:xf numFmtId="0" fontId="14" fillId="4" borderId="2" xfId="0" applyNumberFormat="1" applyFont="1" applyFill="1" applyBorder="1"/>
    <x:xf numFmtId="0" fontId="14" fillId="4" borderId="3" xfId="0" applyNumberFormat="1" applyFont="1" applyFill="1" applyBorder="1"/>
    <x:xf numFmtId="201" fontId="18" fillId="8" borderId="0" xfId="0" applyNumberFormat="1" applyFont="1" applyFill="1" applyBorder="1"/>
    <x:xf numFmtId="204" fontId="18" fillId="8" borderId="0" xfId="0" applyNumberFormat="1" applyFont="1" applyFill="1" applyBorder="1"/>
    <x:xf numFmtId="0" fontId="12" fillId="0" borderId="0" xfId="0" applyNumberFormat="1" applyFont="1" applyFill="1" applyBorder="1" applyAlignment="1">
      <x:alignment wrapText="1"/>
    </x:xf>
    <x:xf numFmtId="206" fontId="18" fillId="8" borderId="0" xfId="0" applyNumberFormat="1" applyFont="1" applyFill="1" applyBorder="1"/>
    <x:xf numFmtId="206" fontId="21" fillId="0" borderId="0" xfId="0" applyNumberFormat="1" applyFont="1" applyFill="1" applyBorder="1"/>
    <x:xf numFmtId="205" fontId="18" fillId="8" borderId="0" xfId="0" applyNumberFormat="1" applyFont="1" applyFill="1" applyBorder="1"/>
    <x:xf numFmtId="204" fontId="12" fillId="0" borderId="0" xfId="0" applyNumberFormat="1" applyFont="1" applyFill="1" applyBorder="1"/>
    <x:xf numFmtId="207" fontId="18" fillId="8" borderId="0" xfId="0" applyNumberFormat="1" applyFont="1" applyFill="1" applyBorder="1"/>
    <x:xf numFmtId="0" fontId="14" fillId="0" borderId="16" xfId="0" applyNumberFormat="1" applyFont="1" applyFill="1" applyBorder="1" applyAlignment="1">
      <x:alignment wrapText="1"/>
    </x:xf>
    <x:xf numFmtId="206" fontId="14" fillId="0" borderId="16" xfId="0" applyNumberFormat="1" applyFont="1" applyFill="1" applyBorder="1"/>
    <x:xf numFmtId="0" fontId="14" fillId="0" borderId="0" xfId="0" applyNumberFormat="1" applyFont="1" applyFill="1" applyBorder="1" applyAlignment="1">
      <x:alignment wrapText="1"/>
    </x:xf>
    <x:xf numFmtId="206" fontId="14" fillId="0" borderId="0" xfId="0" applyNumberFormat="1" applyFont="1" applyFill="1" applyBorder="1"/>
    <x:xf numFmtId="0" fontId="14" fillId="0" borderId="17" xfId="0" applyNumberFormat="1" applyFont="1" applyFill="1" applyBorder="1" applyAlignment="1">
      <x:alignment wrapText="1"/>
    </x:xf>
    <x:xf numFmtId="206" fontId="14" fillId="0" borderId="17" xfId="0" applyNumberFormat="1" applyFont="1" applyFill="1" applyBorder="1"/>
    <x:xf numFmtId="0" fontId="14" fillId="0" borderId="15" xfId="0" applyNumberFormat="1" applyFont="1" applyFill="1" applyBorder="1"/>
    <x:xf numFmtId="204" fontId="14" fillId="0" borderId="15" xfId="0" applyNumberFormat="1" applyFont="1" applyFill="1" applyBorder="1"/>
    <x:xf numFmtId="200" fontId="18" fillId="8" borderId="0" xfId="0" applyNumberFormat="1" applyFont="1" applyFill="1" applyBorder="1"/>
    <x:xf numFmtId="201" fontId="9" fillId="0" borderId="0" xfId="0" applyNumberFormat="1" applyFont="1" applyFill="1" applyBorder="1"/>
    <x:xf numFmtId="208" fontId="0" fillId="0" borderId="0" xfId="0" applyNumberFormat="1" applyFont="1" applyFill="1" applyBorder="1"/>
    <x:xf numFmtId="202" fontId="4" fillId="0" borderId="0" xfId="0" applyNumberFormat="1" applyFont="1" applyFill="1" applyBorder="1"/>
    <x:xf numFmtId="202" fontId="4" fillId="0" borderId="15" xfId="0" applyNumberFormat="1" applyFont="1" applyFill="1" applyBorder="1"/>
    <x:xf numFmtId="202" fontId="4" fillId="0" borderId="16" xfId="0" applyNumberFormat="1" applyFont="1" applyFill="1" applyBorder="1"/>
    <x:xf numFmtId="202" fontId="4" fillId="0" borderId="17" xfId="0" applyNumberFormat="1" applyFont="1" applyFill="1" applyBorder="1"/>
    <x:xf numFmtId="0" fontId="0" fillId="9" borderId="0" xfId="0" applyNumberFormat="1" applyFont="1" applyFill="1" applyBorder="1"/>
    <x:xf numFmtId="200" fontId="0" fillId="9" borderId="0" xfId="0" applyNumberFormat="1" applyFont="1" applyFill="1" applyBorder="1"/>
    <x:xf numFmtId="0" fontId="5" fillId="9" borderId="0" xfId="0" applyNumberFormat="1" applyFont="1" applyFill="1" applyBorder="1"/>
    <x:xf numFmtId="200" fontId="5" fillId="9" borderId="0" xfId="0" applyNumberFormat="1" applyFont="1" applyFill="1" applyBorder="1"/>
    <x:xf numFmtId="0" fontId="5" fillId="9" borderId="18" xfId="0" applyNumberFormat="1" applyFont="1" applyFill="1" applyBorder="1"/>
    <x:xf numFmtId="200" fontId="5" fillId="9" borderId="19" xfId="0" applyNumberFormat="1" applyFont="1" applyFill="1" applyBorder="1"/>
    <x:xf numFmtId="201" fontId="19" fillId="0" borderId="0" xfId="0" applyNumberFormat="1" applyFont="1" applyFill="1" applyBorder="1"/>
    <x:xf numFmtId="202" fontId="12" fillId="0" borderId="0" xfId="0" applyNumberFormat="1" applyFont="1" applyFill="1" applyBorder="1"/>
    <x:xf numFmtId="202" fontId="14" fillId="0" borderId="15" xfId="0" applyNumberFormat="1" applyFont="1" applyFill="1" applyBorder="1"/>
    <x:xf numFmtId="208" fontId="12" fillId="0" borderId="0" xfId="0" applyNumberFormat="1" applyFont="1" applyFill="1" applyBorder="1"/>
    <x:xf numFmtId="0" fontId="14" fillId="0" borderId="16" xfId="0" applyNumberFormat="1" applyFont="1" applyFill="1" applyBorder="1"/>
    <x:xf numFmtId="202" fontId="14" fillId="0" borderId="16" xfId="0" applyNumberFormat="1" applyFont="1" applyFill="1" applyBorder="1"/>
    <x:xf numFmtId="0" fontId="14" fillId="0" borderId="0" xfId="0" applyNumberFormat="1" applyFont="1" applyFill="1" applyBorder="1"/>
    <x:xf numFmtId="202" fontId="14" fillId="0" borderId="0" xfId="0" applyNumberFormat="1" applyFont="1" applyFill="1" applyBorder="1"/>
    <x:xf numFmtId="0" fontId="14" fillId="0" borderId="17" xfId="0" applyNumberFormat="1" applyFont="1" applyFill="1" applyBorder="1"/>
    <x:xf numFmtId="202" fontId="14" fillId="0" borderId="17" xfId="0" applyNumberFormat="1" applyFont="1" applyFill="1" applyBorder="1"/>
    <x:xf numFmtId="0" fontId="15" fillId="9" borderId="18" xfId="0" applyNumberFormat="1" applyFont="1" applyFill="1" applyBorder="1"/>
    <x:xf numFmtId="200" fontId="15" fillId="9" borderId="19" xfId="0" applyNumberFormat="1" applyFont="1" applyFill="1" applyBorder="1"/>
    <x:xf numFmtId="200" fontId="12" fillId="0" borderId="0" xfId="0" applyNumberFormat="1" applyFont="1" applyFill="1" applyBorder="1"/>
    <x:xf numFmtId="201" fontId="12" fillId="0" borderId="0" xfId="0" applyNumberFormat="1" applyFont="1" applyFill="1" applyBorder="1"/>
    <x:xf numFmtId="203" fontId="12" fillId="0" borderId="0" xfId="0" applyNumberFormat="1" applyFont="1" applyFill="1" applyBorder="1"/>
    <x:xf numFmtId="201" fontId="4" fillId="0" borderId="0" xfId="0" applyNumberFormat="1" applyFont="1" applyFill="1" applyBorder="1"/>
    <x:xf numFmtId="200" fontId="4" fillId="0" borderId="0" xfId="0" applyNumberFormat="1" applyFont="1" applyFill="1" applyBorder="1"/>
    <x:xf numFmtId="201" fontId="4" fillId="0" borderId="15" xfId="0" applyNumberFormat="1" applyFont="1" applyFill="1" applyBorder="1"/>
    <x:xf numFmtId="200" fontId="4" fillId="0" borderId="15" xfId="0" applyNumberFormat="1" applyFont="1" applyFill="1" applyBorder="1"/>
    <x:xf numFmtId="0" fontId="4" fillId="4" borderId="20" xfId="0" applyNumberFormat="1" applyFont="1" applyFill="1" applyBorder="1"/>
    <x:xf numFmtId="0" fontId="4" fillId="4" borderId="21" xfId="0" applyNumberFormat="1" applyFont="1" applyFill="1" applyBorder="1"/>
    <x:xf numFmtId="0" fontId="4" fillId="4" borderId="22" xfId="0" applyNumberFormat="1" applyFont="1" applyFill="1" applyBorder="1"/>
    <x:xf numFmtId="201" fontId="4" fillId="4" borderId="2" xfId="0" applyNumberFormat="1" applyFont="1" applyFill="1" applyBorder="1"/>
    <x:xf numFmtId="201" fontId="4" fillId="4" borderId="3" xfId="0" applyNumberFormat="1" applyFont="1" applyFill="1" applyBorder="1"/>
    <x:xf numFmtId="201" fontId="4" fillId="4" borderId="20" xfId="0" applyNumberFormat="1" applyFont="1" applyFill="1" applyBorder="1"/>
    <x:xf numFmtId="201" fontId="4" fillId="4" borderId="21" xfId="0" applyNumberFormat="1" applyFont="1" applyFill="1" applyBorder="1"/>
    <x:xf numFmtId="201" fontId="4" fillId="4" borderId="22" xfId="0" applyNumberFormat="1" applyFont="1" applyFill="1" applyBorder="1"/>
    <x:xf numFmtId="200" fontId="7" fillId="9" borderId="0" xfId="0" applyNumberFormat="1" applyFont="1" applyFill="1" applyBorder="1"/>
    <x:xf numFmtId="200" fontId="7" fillId="9" borderId="23" xfId="0" applyNumberFormat="1" applyFont="1" applyFill="1" applyBorder="1"/>
    <x:xf numFmtId="0" fontId="8" fillId="0" borderId="0" xfId="0" applyNumberFormat="1" applyFont="1" applyFill="1" applyBorder="1"/>
    <x:xf numFmtId="202" fontId="8" fillId="8" borderId="0" xfId="0" applyNumberFormat="1" applyFont="1" applyFill="1" applyBorder="1"/>
    <x:xf numFmtId="201" fontId="14" fillId="0" borderId="15" xfId="0" applyNumberFormat="1" applyFont="1" applyFill="1" applyBorder="1"/>
    <x:xf numFmtId="200" fontId="14" fillId="0" borderId="15" xfId="0" applyNumberFormat="1" applyFont="1" applyFill="1" applyBorder="1"/>
    <x:xf numFmtId="201" fontId="14" fillId="4" borderId="2" xfId="0" applyNumberFormat="1" applyFont="1" applyFill="1" applyBorder="1"/>
    <x:xf numFmtId="201" fontId="14" fillId="4" borderId="3" xfId="0" applyNumberFormat="1" applyFont="1" applyFill="1" applyBorder="1"/>
    <x:xf numFmtId="201" fontId="14" fillId="4" borderId="20" xfId="0" applyNumberFormat="1" applyFont="1" applyFill="1" applyBorder="1"/>
    <x:xf numFmtId="201" fontId="14" fillId="4" borderId="21" xfId="0" applyNumberFormat="1" applyFont="1" applyFill="1" applyBorder="1"/>
    <x:xf numFmtId="200" fontId="17" fillId="9" borderId="23" xfId="0" applyNumberFormat="1" applyFont="1" applyFill="1" applyBorder="1"/>
    <x:xf numFmtId="201" fontId="14" fillId="4" borderId="22" xfId="0" applyNumberFormat="1" applyFont="1" applyFill="1" applyBorder="1"/>
    <x:xf numFmtId="0" fontId="7" fillId="9" borderId="0" xfId="0" applyNumberFormat="1" applyFont="1" applyFill="1" applyBorder="1"/>
    <x:xf numFmtId="0" fontId="5" fillId="8" borderId="0" xfId="0" applyNumberFormat="1" applyFont="1" applyFill="1" applyBorder="1"/>
    <x:xf numFmtId="0" fontId="5" fillId="8" borderId="24" xfId="0" applyNumberFormat="1" applyFont="1" applyFill="1" applyBorder="1"/>
    <x:xf numFmtId="0" fontId="5" fillId="8" borderId="25" xfId="0" applyNumberFormat="1" applyFont="1" applyFill="1" applyBorder="1"/>
    <x:xf numFmtId="0" fontId="17" fillId="9" borderId="0" xfId="0" applyNumberFormat="1" applyFont="1" applyFill="1" applyBorder="1"/>
    <x:xf numFmtId="206" fontId="12" fillId="0" borderId="0" xfId="0" applyNumberFormat="1" applyFont="1" applyFill="1" applyBorder="1"/>
    <x:xf numFmtId="0" fontId="15" fillId="8" borderId="24" xfId="0" applyNumberFormat="1" applyFont="1" applyFill="1" applyBorder="1"/>
    <x:xf numFmtId="0" fontId="15" fillId="8" borderId="25" xfId="0" applyNumberFormat="1" applyFont="1" applyFill="1" applyBorder="1"/>
    <x:xf numFmtId="0" fontId="0" fillId="0" borderId="0" xfId="0" applyNumberFormat="1" applyFont="1" applyFill="1" applyBorder="1" applyAlignment="1">
      <x:alignment vertical="top" wrapText="1"/>
    </x:xf>
    <x:xf numFmtId="0" fontId="1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71c1d3969e144ef" /><Relationship Type="http://schemas.openxmlformats.org/officeDocument/2006/relationships/theme" Target="/xl/theme/theme1.xml" Id="Rfebfaeedc8824bca" /><Relationship Type="http://schemas.openxmlformats.org/officeDocument/2006/relationships/sharedStrings" Target="/xl/sharedStrings.xml" Id="Raef3c37df66645e0" /><Relationship Type="http://schemas.openxmlformats.org/officeDocument/2006/relationships/worksheet" Target="/xl/worksheets/sheet1.xml" Id="R87634dd605c64fed" /><Relationship Type="http://schemas.openxmlformats.org/officeDocument/2006/relationships/worksheet" Target="/xl/worksheets/sheet2.xml" Id="R3aa8095692af418a" /><Relationship Type="http://schemas.openxmlformats.org/officeDocument/2006/relationships/worksheet" Target="/xl/worksheets/sheet3.xml" Id="Rfd0cb212a1de4f66" /><Relationship Type="http://schemas.openxmlformats.org/officeDocument/2006/relationships/worksheet" Target="/xl/worksheets/sheet4.xml" Id="R3daa0bf366b34f6f" /><Relationship Type="http://schemas.openxmlformats.org/officeDocument/2006/relationships/worksheet" Target="/xl/worksheets/sheet5.xml" Id="R6b381f0bf4e343a8" /><Relationship Type="http://schemas.openxmlformats.org/officeDocument/2006/relationships/worksheet" Target="/xl/worksheets/sheet6.xml" Id="R97f6c28dc2c44a3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 hidden="0" customWidth="1"/>
    <x:col min="2" max="2" width="19" hidden="0" customWidth="1"/>
    <x:col min="3" max="3" width="19" hidden="0" customWidth="1"/>
    <x:col min="4" max="4" width="19" hidden="0" customWidth="1"/>
    <x:col min="5" max="5" width="19" hidden="0" customWidth="1"/>
    <x:col min="6" max="6" width="19" hidden="0" customWidth="1"/>
    <x:col min="7" max="7" width="28" hidden="0" customWidth="1"/>
    <x:col min="8" max="8" width="28" hidden="0" customWidth="1"/>
  </x:cols>
  <x:sheetData>
    <x:row r="1" ht="30" customHeight="1">
      <x:c r="A1" s="71" t="str">
        <x:v>Datadog (DDOG) — 10-Year FCFF DCF</x:v>
      </x:c>
      <x:c r="B1" s="71"/>
      <x:c r="C1" s="71"/>
      <x:c r="D1" s="71"/>
      <x:c r="E1" s="71"/>
      <x:c r="F1" s="71"/>
      <x:c r="G1" s="71"/>
      <x:c r="H1" s="71"/>
    </x:row>
    <x:row r="2" ht="30" customHeight="1">
      <x:c r="A2" s="71"/>
      <x:c r="B2" s="71"/>
      <x:c r="C2" s="71"/>
      <x:c r="D2" s="71"/>
      <x:c r="E2" s="71"/>
      <x:c r="F2" s="71"/>
      <x:c r="G2" s="71"/>
      <x:c r="H2" s="71"/>
    </x:row>
    <x:row r="3">
      <x:c r="A3" s="101" t="str">
        <x:v>Valuation date: 2026-08-05 | Latest filing: Q1 2026 | USD millions except per-share data | Mid-year convention</x:v>
      </x:c>
      <x:c r="B3" s="101"/>
      <x:c r="C3" s="101"/>
      <x:c r="D3" s="101"/>
      <x:c r="E3" s="101"/>
      <x:c r="F3" s="101"/>
      <x:c r="G3" s="101"/>
      <x:c r="H3" s="101"/>
    </x:row>
    <x:row r="4">
      <x:c r="A4" s="102"/>
      <x:c r="B4" s="102"/>
      <x:c r="C4" s="102"/>
      <x:c r="D4" s="102"/>
      <x:c r="E4" s="102"/>
      <x:c r="F4" s="102"/>
      <x:c r="G4" s="102"/>
      <x:c r="H4" s="102"/>
    </x:row>
    <x:row r="5" ht="22" customHeight="1">
      <x:c r="A5" s="74" t="str">
        <x:v>Valuation Summary</x:v>
      </x:c>
      <x:c r="B5" s="74"/>
      <x:c r="C5" s="74"/>
      <x:c r="D5" s="74"/>
      <x:c r="E5" s="74"/>
      <x:c r="F5" s="74"/>
      <x:c r="G5" s="74"/>
      <x:c r="H5" s="74"/>
    </x:row>
    <x:row r="6" ht="34" customHeight="1">
      <x:c r="A6" s="103" t="str">
        <x:v>Current Price</x:v>
      </x:c>
      <x:c r="B6" s="104" t="str">
        <x:v>Downside</x:v>
      </x:c>
      <x:c r="C6" s="104" t="str">
        <x:v>Base</x:v>
      </x:c>
      <x:c r="D6" s="104" t="str">
        <x:v>Upside</x:v>
      </x:c>
      <x:c r="E6" s="104" t="str">
        <x:v>Probability-Weighted</x:v>
      </x:c>
      <x:c r="F6" s="104" t="str">
        <x:v>Base Upside/(Downside)</x:v>
      </x:c>
      <x:c r="G6" s="104" t="str">
        <x:v>Base TV / EV</x:v>
      </x:c>
      <x:c r="H6" s="105" t="str">
        <x:v>Model Status</x:v>
      </x:c>
    </x:row>
    <x:row r="7">
      <x:c r="A7" s="106" t="n">
        <x:f>'Assumptions'!$B$49</x:f>
        <x:v>288.15</x:v>
      </x:c>
      <x:c r="B7" s="107" t="n">
        <x:f>'DCF Model'!$B$76</x:f>
        <x:v>32.06475076030094</x:v>
      </x:c>
      <x:c r="C7" s="107" t="n">
        <x:f>'DCF Model'!$B$36</x:f>
        <x:v>70.2639913662316</x:v>
      </x:c>
      <x:c r="D7" s="107" t="n">
        <x:f>'DCF Model'!$B$116</x:f>
        <x:v>141.8900935105911</x:v>
      </x:c>
      <x:c r="E7" s="107" t="n">
        <x:f>'Sensitivities'!$D$9</x:f>
        <x:v>75.03940164362083</x:v>
      </x:c>
      <x:c r="F7" s="108" t="n">
        <x:f>'DCF Model'!$B$38</x:f>
        <x:v>-0.7561548104590262</x:v>
      </x:c>
      <x:c r="G7" s="108" t="n">
        <x:f>'DCF Model'!$B$39</x:f>
        <x:v>0.6942983426918544</x:v>
      </x:c>
      <x:c r="H7" s="109" t="str">
        <x:f>'Checks'!$B$15</x:f>
        <x:v>OK — SCREEN GRADE</x:v>
      </x:c>
    </x:row>
    <x:row r="8">
      <x:c r="A8" s="102"/>
      <x:c r="B8" s="102"/>
      <x:c r="C8" s="102"/>
      <x:c r="D8" s="102"/>
      <x:c r="E8" s="102"/>
      <x:c r="F8" s="102"/>
      <x:c r="G8" s="102"/>
      <x:c r="H8" s="102"/>
    </x:row>
    <x:row r="9">
      <x:c r="A9" s="102"/>
      <x:c r="B9" s="102"/>
      <x:c r="C9" s="102"/>
      <x:c r="D9" s="102"/>
      <x:c r="E9" s="102"/>
      <x:c r="F9" s="102"/>
      <x:c r="G9" s="102"/>
      <x:c r="H9" s="102"/>
    </x:row>
    <x:row r="10" ht="22" customHeight="1">
      <x:c r="A10" s="74" t="str">
        <x:v>Base Case Operating Path</x:v>
      </x:c>
      <x:c r="B10" s="74"/>
      <x:c r="C10" s="74"/>
      <x:c r="D10" s="74"/>
      <x:c r="E10" s="74"/>
      <x:c r="F10" s="74"/>
      <x:c r="G10" s="74"/>
      <x:c r="H10" s="74"/>
    </x:row>
    <x:row r="11" ht="34" customHeight="1">
      <x:c r="A11" s="103" t="str">
        <x:v>FY2026 Revenue</x:v>
      </x:c>
      <x:c r="B11" s="104" t="str">
        <x:v>FY2035 Revenue</x:v>
      </x:c>
      <x:c r="C11" s="104" t="str">
        <x:v>FY2035 GAAP EBIT Margin</x:v>
      </x:c>
      <x:c r="D11" s="104" t="str">
        <x:v>FY2035 FCFF</x:v>
      </x:c>
      <x:c r="E11" s="104" t="str">
        <x:v>Revenue CAGR 2025-35</x:v>
      </x:c>
      <x:c r="F11" s="104" t="str">
        <x:v>WACC</x:v>
      </x:c>
      <x:c r="G11" s="104" t="str">
        <x:v>Terminal Growth</x:v>
      </x:c>
      <x:c r="H11" s="105" t="str">
        <x:v>Implied Terminal EV/EBITDA</x:v>
      </x:c>
    </x:row>
    <x:row r="12">
      <x:c r="A12" s="110" t="n">
        <x:f>'DCF Model'!$B$7</x:f>
        <x:v>4319.932659</x:v>
      </x:c>
      <x:c r="B12" s="111" t="n">
        <x:f>'DCF Model'!$K$7</x:f>
        <x:v>12653.987981084803</x:v>
      </x:c>
      <x:c r="C12" s="112" t="n">
        <x:f>'DCF Model'!$K$8</x:f>
        <x:v>0.28</x:v>
      </x:c>
      <x:c r="D12" s="111" t="n">
        <x:f>'DCF Model'!$K$22</x:f>
        <x:v>2504.8870493985487</x:v>
      </x:c>
      <x:c r="E12" s="112" t="n">
        <x:f>('DCF Model'!$K$7/'Assumptions'!$H$39)^(1/10)-1</x:f>
        <x:v>0.1395393564551577</x:v>
      </x:c>
      <x:c r="F12" s="112" t="n">
        <x:f>'DCF Model'!$B$29</x:f>
        <x:v>0.097977</x:v>
      </x:c>
      <x:c r="G12" s="112" t="n">
        <x:f>'DCF Model'!$B$28</x:f>
        <x:v>0.0325</x:v>
      </x:c>
      <x:c r="H12" s="113" t="n">
        <x:f>'DCF Model'!$B$40</x:f>
        <x:v>10.336061251442588</x:v>
      </x:c>
    </x:row>
    <x:row r="13">
      <x:c r="A13" s="102"/>
      <x:c r="B13" s="102"/>
      <x:c r="C13" s="102"/>
      <x:c r="D13" s="102"/>
      <x:c r="E13" s="102"/>
      <x:c r="F13" s="102"/>
      <x:c r="G13" s="102"/>
      <x:c r="H13" s="102"/>
    </x:row>
    <x:row r="14">
      <x:c r="A14" s="102"/>
      <x:c r="B14" s="102"/>
      <x:c r="C14" s="102"/>
      <x:c r="D14" s="102"/>
      <x:c r="E14" s="102"/>
      <x:c r="F14" s="102"/>
      <x:c r="G14" s="102"/>
      <x:c r="H14" s="102"/>
    </x:row>
    <x:row r="15" ht="22" customHeight="1">
      <x:c r="A15" s="74" t="str">
        <x:v>What the Current Price Implies</x:v>
      </x:c>
      <x:c r="B15" s="74"/>
      <x:c r="C15" s="74"/>
      <x:c r="D15" s="74"/>
      <x:c r="E15" s="74"/>
      <x:c r="F15" s="74"/>
      <x:c r="G15" s="74"/>
      <x:c r="H15" s="74"/>
    </x:row>
    <x:row r="16" ht="38" customHeight="1">
      <x:c r="A16" s="103" t="str">
        <x:v>Market-Implied EV</x:v>
      </x:c>
      <x:c r="B16" s="104" t="str">
        <x:v>Required 2027-35 Growth</x:v>
      </x:c>
      <x:c r="C16" s="104" t="str">
        <x:v>Implied FY2035 Revenue</x:v>
      </x:c>
      <x:c r="D16" s="104" t="str">
        <x:v>Assumed FY2035 EBIT Margin</x:v>
      </x:c>
      <x:c r="E16" s="104" t="str">
        <x:v>Price vs Base</x:v>
      </x:c>
      <x:c r="F16" s="104" t="str">
        <x:v>Price vs Upside</x:v>
      </x:c>
      <x:c r="G16" s="104" t="str">
        <x:v>Primary Downside Mechanism</x:v>
      </x:c>
      <x:c r="H16" s="105" t="str">
        <x:v>PM Action</x:v>
      </x:c>
    </x:row>
    <x:row r="17">
      <x:c r="A17" s="114" t="n">
        <x:f>'Sensitivities'!$B$24</x:f>
        <x:v>102392.74499999998</x:v>
      </x:c>
      <x:c r="B17" s="115" t="n">
        <x:f>'Sensitivities'!$B$25</x:f>
        <x:v>0.3064103977</x:v>
      </x:c>
      <x:c r="C17" s="114" t="n">
        <x:f>'Sensitivities'!$B$26</x:f>
        <x:v>47884.353852711545</x:v>
      </x:c>
      <x:c r="D17" s="115" t="n">
        <x:f>'Sensitivities'!$B$27</x:f>
        <x:v>0.35</x:v>
      </x:c>
      <x:c r="E17" s="115" t="n">
        <x:f>$A$7/$C$7-1</x:f>
        <x:v>3.1009625897580726</x:v>
      </x:c>
      <x:c r="F17" s="115" t="n">
        <x:f>$A$7/$D$7-1</x:f>
        <x:v>1.0307971675167837</x:v>
      </x:c>
      <x:c r="G17" s="116" t="str">
        <x:v>Growth fades before GAAP margin catches up; SBC remains structurally high.</x:v>
      </x:c>
      <x:c r="H17" s="116" t="str">
        <x:v>Pass / wait for proof at the current price</x:v>
      </x:c>
    </x:row>
    <x:row r="18">
      <x:c r="A18" s="102"/>
      <x:c r="B18" s="102"/>
      <x:c r="C18" s="102"/>
      <x:c r="D18" s="102"/>
      <x:c r="E18" s="102"/>
      <x:c r="F18" s="102"/>
      <x:c r="G18" s="102"/>
      <x:c r="H18" s="102"/>
    </x:row>
    <x:row r="19">
      <x:c r="A19" s="102"/>
      <x:c r="B19" s="102"/>
      <x:c r="C19" s="102"/>
      <x:c r="D19" s="102"/>
      <x:c r="E19" s="102"/>
      <x:c r="F19" s="102"/>
      <x:c r="G19" s="102"/>
      <x:c r="H19" s="102"/>
    </x:row>
    <x:row r="20" ht="22" customHeight="1">
      <x:c r="A20" s="74" t="str">
        <x:v>Interpretation and Limitations</x:v>
      </x:c>
      <x:c r="B20" s="74"/>
      <x:c r="C20" s="74"/>
      <x:c r="D20" s="74"/>
      <x:c r="E20" s="74"/>
      <x:c r="F20" s="74"/>
      <x:c r="G20" s="74"/>
      <x:c r="H20" s="74"/>
    </x:row>
    <x:row r="21">
      <x:c r="A21" s="117" t="str">
        <x:v>The base case already assumes durable 26% FY2026 growth, a 28% mature GAAP EBIT margin, and continued favorable SaaS working-capital economics. Even the upside case—$17.7bn of FY2035 revenue and a 35% GAAP EBIT margin—does not support the current price. The workbook is screen-grade because years 2-10 are analyst assumptions, consensus estimates were unavailable, customer-cohort/ARR drivers are represented by a revenue-growth proxy, and future SBC dilution is handled by expensing SBC rather than forecasting annual share issuance.</x:v>
      </x:c>
      <x:c r="B21" s="118"/>
      <x:c r="C21" s="118"/>
      <x:c r="D21" s="118"/>
      <x:c r="E21" s="118"/>
      <x:c r="F21" s="118"/>
      <x:c r="G21" s="118"/>
      <x:c r="H21" s="119"/>
    </x:row>
    <x:row r="22">
      <x:c r="A22" s="120"/>
      <x:c r="B22" s="121"/>
      <x:c r="C22" s="121"/>
      <x:c r="D22" s="121"/>
      <x:c r="E22" s="121"/>
      <x:c r="F22" s="121"/>
      <x:c r="G22" s="121"/>
      <x:c r="H22" s="122"/>
    </x:row>
    <x:row r="23">
      <x:c r="A23" s="120"/>
      <x:c r="B23" s="121"/>
      <x:c r="C23" s="121"/>
      <x:c r="D23" s="121"/>
      <x:c r="E23" s="121"/>
      <x:c r="F23" s="121"/>
      <x:c r="G23" s="121"/>
      <x:c r="H23" s="122"/>
    </x:row>
    <x:row r="24">
      <x:c r="A24" s="123"/>
      <x:c r="B24" s="124"/>
      <x:c r="C24" s="124"/>
      <x:c r="D24" s="124"/>
      <x:c r="E24" s="124"/>
      <x:c r="F24" s="124"/>
      <x:c r="G24" s="124"/>
      <x:c r="H24" s="125"/>
    </x:row>
    <x:row r="25">
      <x:c r="A25" s="102"/>
      <x:c r="B25" s="102"/>
      <x:c r="C25" s="102"/>
      <x:c r="D25" s="102"/>
      <x:c r="E25" s="102"/>
      <x:c r="F25" s="102"/>
      <x:c r="G25" s="102"/>
      <x:c r="H25" s="102"/>
    </x:row>
    <x:row r="26">
      <x:c r="A26" s="102"/>
      <x:c r="B26" s="102"/>
      <x:c r="C26" s="102"/>
      <x:c r="D26" s="102"/>
      <x:c r="E26" s="102"/>
      <x:c r="F26" s="102"/>
      <x:c r="G26" s="102"/>
      <x:c r="H26" s="102"/>
    </x:row>
    <x:row r="27">
      <x:c r="A27" s="126" t="str">
        <x:v>Legend</x:v>
      </x:c>
      <x:c r="B27" s="126" t="str">
        <x:v>Blue font / yellow fill</x:v>
      </x:c>
      <x:c r="C27" s="126" t="str">
        <x:v>Green font</x:v>
      </x:c>
      <x:c r="D27" s="126" t="str">
        <x:v>Black font</x:v>
      </x:c>
      <x:c r="E27" s="102"/>
      <x:c r="F27" s="102"/>
      <x:c r="G27" s="102"/>
      <x:c r="H27" s="102"/>
    </x:row>
    <x:row r="28">
      <x:c r="A28" s="102" t="str">
        <x:v>Cell role</x:v>
      </x:c>
      <x:c r="B28" s="127" t="str">
        <x:v>Editable assumption</x:v>
      </x:c>
      <x:c r="C28" s="128" t="str">
        <x:v>Cross-sheet link</x:v>
      </x:c>
      <x:c r="D28" s="102" t="str">
        <x:v>Formula / calculation</x:v>
      </x:c>
      <x:c r="E28" s="102"/>
      <x:c r="F28" s="102"/>
      <x:c r="G28" s="102"/>
      <x:c r="H28" s="102"/>
    </x:row>
    <x:row r="29">
      <x:c r="A29" s="102"/>
      <x:c r="B29" s="102"/>
      <x:c r="C29" s="102"/>
      <x:c r="D29" s="102"/>
      <x:c r="E29" s="102"/>
      <x:c r="F29" s="102"/>
      <x:c r="G29" s="102"/>
      <x:c r="H29" s="102"/>
    </x:row>
    <x:row r="30">
      <x:c r="A30" s="102"/>
      <x:c r="B30" s="102"/>
      <x:c r="C30" s="102"/>
      <x:c r="D30" s="102"/>
      <x:c r="E30" s="102"/>
      <x:c r="F30" s="102"/>
      <x:c r="G30" s="102"/>
      <x:c r="H30" s="102"/>
    </x:row>
  </x:sheetData>
  <x:mergeCells>
    <x:mergeCell ref="A1:H2"/>
    <x:mergeCell ref="A3:H3"/>
    <x:mergeCell ref="A5:H5"/>
    <x:mergeCell ref="A10:H10"/>
    <x:mergeCell ref="A15:H15"/>
    <x:mergeCell ref="A20:H20"/>
    <x:mergeCell ref="A21:H2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s>
  <x:sheetData>
    <x:row r="1" ht="30" customHeight="1">
      <x:c r="A1" s="71" t="str">
        <x:v>DCF Assumptions</x:v>
      </x:c>
      <x:c r="B1" s="71"/>
      <x:c r="C1" s="71"/>
      <x:c r="D1" s="71"/>
      <x:c r="E1" s="71"/>
      <x:c r="F1" s="71"/>
      <x:c r="G1" s="71"/>
      <x:c r="H1" s="71"/>
      <x:c r="I1" s="71"/>
      <x:c r="J1" s="71"/>
      <x:c r="K1" s="71"/>
    </x:row>
    <x:row r="2" ht="30" customHeight="1">
      <x:c r="A2" s="71"/>
      <x:c r="B2" s="71"/>
      <x:c r="C2" s="71"/>
      <x:c r="D2" s="71"/>
      <x:c r="E2" s="71"/>
      <x:c r="F2" s="71"/>
      <x:c r="G2" s="71"/>
      <x:c r="H2" s="71"/>
      <x:c r="I2" s="71"/>
      <x:c r="J2" s="71"/>
      <x:c r="K2" s="71"/>
    </x:row>
    <x:row r="3">
      <x:c r="A3" s="159" t="str">
        <x:v>Scenario / Driver</x:v>
      </x:c>
      <x:c r="B3" s="160" t="n">
        <x:v>2026</x:v>
      </x:c>
      <x:c r="C3" s="160" t="n">
        <x:v>2027</x:v>
      </x:c>
      <x:c r="D3" s="160" t="n">
        <x:v>2028</x:v>
      </x:c>
      <x:c r="E3" s="160" t="n">
        <x:v>2029</x:v>
      </x:c>
      <x:c r="F3" s="160" t="n">
        <x:v>2030</x:v>
      </x:c>
      <x:c r="G3" s="160" t="n">
        <x:v>2031</x:v>
      </x:c>
      <x:c r="H3" s="160" t="n">
        <x:v>2032</x:v>
      </x:c>
      <x:c r="I3" s="160" t="n">
        <x:v>2033</x:v>
      </x:c>
      <x:c r="J3" s="160" t="n">
        <x:v>2034</x:v>
      </x:c>
      <x:c r="K3" s="161" t="n">
        <x:v>2035</x:v>
      </x:c>
    </x:row>
    <x:row r="4">
      <x:c r="A4" s="73"/>
      <x:c r="B4" s="73"/>
      <x:c r="C4" s="73"/>
      <x:c r="D4" s="73"/>
      <x:c r="E4" s="73"/>
      <x:c r="F4" s="73"/>
      <x:c r="G4" s="73"/>
      <x:c r="H4" s="73"/>
      <x:c r="I4" s="73"/>
      <x:c r="J4" s="73"/>
      <x:c r="K4" s="73"/>
    </x:row>
    <x:row r="5" ht="22" customHeight="1">
      <x:c r="A5" s="74" t="str">
        <x:v>Base Case</x:v>
      </x:c>
      <x:c r="B5" s="74"/>
      <x:c r="C5" s="74"/>
      <x:c r="D5" s="74"/>
      <x:c r="E5" s="74"/>
      <x:c r="F5" s="74"/>
      <x:c r="G5" s="74"/>
      <x:c r="H5" s="74"/>
      <x:c r="I5" s="74"/>
      <x:c r="J5" s="74"/>
      <x:c r="K5" s="74"/>
    </x:row>
    <x:row r="6">
      <x:c r="A6" s="73" t="str">
        <x:v>Revenue Growth</x:v>
      </x:c>
      <x:c r="B6" s="162" t="n">
        <x:v>0.2605</x:v>
      </x:c>
      <x:c r="C6" s="162" t="n">
        <x:v>0.23</x:v>
      </x:c>
      <x:c r="D6" s="162" t="n">
        <x:v>0.2</x:v>
      </x:c>
      <x:c r="E6" s="162" t="n">
        <x:v>0.17</x:v>
      </x:c>
      <x:c r="F6" s="162" t="n">
        <x:v>0.14</x:v>
      </x:c>
      <x:c r="G6" s="162" t="n">
        <x:v>0.12</x:v>
      </x:c>
      <x:c r="H6" s="162" t="n">
        <x:v>0.1</x:v>
      </x:c>
      <x:c r="I6" s="162" t="n">
        <x:v>0.08</x:v>
      </x:c>
      <x:c r="J6" s="162" t="n">
        <x:v>0.065</x:v>
      </x:c>
      <x:c r="K6" s="162" t="n">
        <x:v>0.05</x:v>
      </x:c>
    </x:row>
    <x:row r="7">
      <x:c r="A7" s="73" t="str">
        <x:v>GAAP EBIT Margin</x:v>
      </x:c>
      <x:c r="B7" s="162" t="n">
        <x:v>0.015</x:v>
      </x:c>
      <x:c r="C7" s="162" t="n">
        <x:v>0.05</x:v>
      </x:c>
      <x:c r="D7" s="162" t="n">
        <x:v>0.09</x:v>
      </x:c>
      <x:c r="E7" s="162" t="n">
        <x:v>0.13</x:v>
      </x:c>
      <x:c r="F7" s="162" t="n">
        <x:v>0.17</x:v>
      </x:c>
      <x:c r="G7" s="162" t="n">
        <x:v>0.2</x:v>
      </x:c>
      <x:c r="H7" s="162" t="n">
        <x:v>0.22</x:v>
      </x:c>
      <x:c r="I7" s="162" t="n">
        <x:v>0.24</x:v>
      </x:c>
      <x:c r="J7" s="162" t="n">
        <x:v>0.26</x:v>
      </x:c>
      <x:c r="K7" s="162" t="n">
        <x:v>0.28</x:v>
      </x:c>
    </x:row>
    <x:row r="8">
      <x:c r="A8" s="73" t="str">
        <x:v>Cash Tax Rate</x:v>
      </x:c>
      <x:c r="B8" s="162" t="n">
        <x:v>0</x:v>
      </x:c>
      <x:c r="C8" s="162" t="n">
        <x:v>0</x:v>
      </x:c>
      <x:c r="D8" s="162" t="n">
        <x:v>0.1</x:v>
      </x:c>
      <x:c r="E8" s="162" t="n">
        <x:v>0.15</x:v>
      </x:c>
      <x:c r="F8" s="162" t="n">
        <x:v>0.2</x:v>
      </x:c>
      <x:c r="G8" s="162" t="n">
        <x:v>0.22</x:v>
      </x:c>
      <x:c r="H8" s="162" t="n">
        <x:v>0.24</x:v>
      </x:c>
      <x:c r="I8" s="162" t="n">
        <x:v>0.25</x:v>
      </x:c>
      <x:c r="J8" s="162" t="n">
        <x:v>0.25</x:v>
      </x:c>
      <x:c r="K8" s="162" t="n">
        <x:v>0.25</x:v>
      </x:c>
    </x:row>
    <x:row r="9">
      <x:c r="A9" s="73" t="str">
        <x:v>D&amp;A / Revenue</x:v>
      </x:c>
      <x:c r="B9" s="162" t="n">
        <x:v>0.018</x:v>
      </x:c>
      <x:c r="C9" s="162" t="n">
        <x:v>0.019</x:v>
      </x:c>
      <x:c r="D9" s="162" t="n">
        <x:v>0.02</x:v>
      </x:c>
      <x:c r="E9" s="162" t="n">
        <x:v>0.021</x:v>
      </x:c>
      <x:c r="F9" s="162" t="n">
        <x:v>0.022</x:v>
      </x:c>
      <x:c r="G9" s="162" t="n">
        <x:v>0.022</x:v>
      </x:c>
      <x:c r="H9" s="162" t="n">
        <x:v>0.022</x:v>
      </x:c>
      <x:c r="I9" s="162" t="n">
        <x:v>0.022</x:v>
      </x:c>
      <x:c r="J9" s="162" t="n">
        <x:v>0.022</x:v>
      </x:c>
      <x:c r="K9" s="162" t="n">
        <x:v>0.022</x:v>
      </x:c>
    </x:row>
    <x:row r="10">
      <x:c r="A10" s="73" t="str">
        <x:v>Capex / Revenue</x:v>
      </x:c>
      <x:c r="B10" s="162" t="n">
        <x:v>0.045</x:v>
      </x:c>
      <x:c r="C10" s="162" t="n">
        <x:v>0.043</x:v>
      </x:c>
      <x:c r="D10" s="162" t="n">
        <x:v>0.041</x:v>
      </x:c>
      <x:c r="E10" s="162" t="n">
        <x:v>0.039</x:v>
      </x:c>
      <x:c r="F10" s="162" t="n">
        <x:v>0.038</x:v>
      </x:c>
      <x:c r="G10" s="162" t="n">
        <x:v>0.037</x:v>
      </x:c>
      <x:c r="H10" s="162" t="n">
        <x:v>0.036</x:v>
      </x:c>
      <x:c r="I10" s="162" t="n">
        <x:v>0.035</x:v>
      </x:c>
      <x:c r="J10" s="162" t="n">
        <x:v>0.035</x:v>
      </x:c>
      <x:c r="K10" s="162" t="n">
        <x:v>0.035</x:v>
      </x:c>
    </x:row>
    <x:row r="11">
      <x:c r="A11" s="73" t="str">
        <x:v>Operating NWC / Revenue</x:v>
      </x:c>
      <x:c r="B11" s="162" t="n">
        <x:v>-0.18</x:v>
      </x:c>
      <x:c r="C11" s="162" t="n">
        <x:v>-0.175</x:v>
      </x:c>
      <x:c r="D11" s="162" t="n">
        <x:v>-0.17</x:v>
      </x:c>
      <x:c r="E11" s="162" t="n">
        <x:v>-0.165</x:v>
      </x:c>
      <x:c r="F11" s="162" t="n">
        <x:v>-0.16</x:v>
      </x:c>
      <x:c r="G11" s="162" t="n">
        <x:v>-0.15</x:v>
      </x:c>
      <x:c r="H11" s="162" t="n">
        <x:v>-0.14</x:v>
      </x:c>
      <x:c r="I11" s="162" t="n">
        <x:v>-0.13</x:v>
      </x:c>
      <x:c r="J11" s="162" t="n">
        <x:v>-0.125</x:v>
      </x:c>
      <x:c r="K11" s="162" t="n">
        <x:v>-0.12</x:v>
      </x:c>
    </x:row>
    <x:row r="12">
      <x:c r="A12" s="73" t="str">
        <x:v>WACC Adjustment</x:v>
      </x:c>
      <x:c r="B12" s="163" t="n">
        <x:v>0</x:v>
      </x:c>
      <x:c r="C12" s="73"/>
      <x:c r="D12" s="73"/>
      <x:c r="E12" s="73"/>
      <x:c r="F12" s="73"/>
      <x:c r="G12" s="73"/>
      <x:c r="H12" s="73"/>
      <x:c r="I12" s="73"/>
      <x:c r="J12" s="73"/>
      <x:c r="K12" s="73"/>
    </x:row>
    <x:row r="13">
      <x:c r="A13" s="73" t="str">
        <x:v>Terminal Growth</x:v>
      </x:c>
      <x:c r="B13" s="163" t="n">
        <x:v>0.0325</x:v>
      </x:c>
      <x:c r="C13" s="73"/>
      <x:c r="D13" s="73"/>
      <x:c r="E13" s="73"/>
      <x:c r="F13" s="73"/>
      <x:c r="G13" s="73"/>
      <x:c r="H13" s="73"/>
      <x:c r="I13" s="73"/>
      <x:c r="J13" s="73"/>
      <x:c r="K13" s="73"/>
    </x:row>
    <x:row r="14">
      <x:c r="A14" s="73"/>
      <x:c r="B14" s="73"/>
      <x:c r="C14" s="73"/>
      <x:c r="D14" s="73"/>
      <x:c r="E14" s="73"/>
      <x:c r="F14" s="73"/>
      <x:c r="G14" s="73"/>
      <x:c r="H14" s="73"/>
      <x:c r="I14" s="73"/>
      <x:c r="J14" s="73"/>
      <x:c r="K14" s="73"/>
    </x:row>
    <x:row r="15">
      <x:c r="A15" s="73"/>
      <x:c r="B15" s="73"/>
      <x:c r="C15" s="73"/>
      <x:c r="D15" s="73"/>
      <x:c r="E15" s="73"/>
      <x:c r="F15" s="73"/>
      <x:c r="G15" s="73"/>
      <x:c r="H15" s="73"/>
      <x:c r="I15" s="73"/>
      <x:c r="J15" s="73"/>
      <x:c r="K15" s="73"/>
    </x:row>
    <x:row r="16" ht="22" customHeight="1">
      <x:c r="A16" s="74" t="str">
        <x:v>Downside Case</x:v>
      </x:c>
      <x:c r="B16" s="74"/>
      <x:c r="C16" s="74"/>
      <x:c r="D16" s="74"/>
      <x:c r="E16" s="74"/>
      <x:c r="F16" s="74"/>
      <x:c r="G16" s="74"/>
      <x:c r="H16" s="74"/>
      <x:c r="I16" s="74"/>
      <x:c r="J16" s="74"/>
      <x:c r="K16" s="74"/>
    </x:row>
    <x:row r="17">
      <x:c r="A17" s="73" t="str">
        <x:v>Revenue Growth</x:v>
      </x:c>
      <x:c r="B17" s="162" t="n">
        <x:v>0.23</x:v>
      </x:c>
      <x:c r="C17" s="162" t="n">
        <x:v>0.18</x:v>
      </x:c>
      <x:c r="D17" s="162" t="n">
        <x:v>0.15</x:v>
      </x:c>
      <x:c r="E17" s="162" t="n">
        <x:v>0.12</x:v>
      </x:c>
      <x:c r="F17" s="162" t="n">
        <x:v>0.1</x:v>
      </x:c>
      <x:c r="G17" s="162" t="n">
        <x:v>0.08</x:v>
      </x:c>
      <x:c r="H17" s="162" t="n">
        <x:v>0.06</x:v>
      </x:c>
      <x:c r="I17" s="162" t="n">
        <x:v>0.05</x:v>
      </x:c>
      <x:c r="J17" s="162" t="n">
        <x:v>0.04</x:v>
      </x:c>
      <x:c r="K17" s="162" t="n">
        <x:v>0.03</x:v>
      </x:c>
    </x:row>
    <x:row r="18">
      <x:c r="A18" s="73" t="str">
        <x:v>GAAP EBIT Margin</x:v>
      </x:c>
      <x:c r="B18" s="162" t="n">
        <x:v>0</x:v>
      </x:c>
      <x:c r="C18" s="162" t="n">
        <x:v>0.02</x:v>
      </x:c>
      <x:c r="D18" s="162" t="n">
        <x:v>0.04</x:v>
      </x:c>
      <x:c r="E18" s="162" t="n">
        <x:v>0.07</x:v>
      </x:c>
      <x:c r="F18" s="162" t="n">
        <x:v>0.1</x:v>
      </x:c>
      <x:c r="G18" s="162" t="n">
        <x:v>0.13</x:v>
      </x:c>
      <x:c r="H18" s="162" t="n">
        <x:v>0.15</x:v>
      </x:c>
      <x:c r="I18" s="162" t="n">
        <x:v>0.17</x:v>
      </x:c>
      <x:c r="J18" s="162" t="n">
        <x:v>0.19</x:v>
      </x:c>
      <x:c r="K18" s="162" t="n">
        <x:v>0.21</x:v>
      </x:c>
    </x:row>
    <x:row r="19">
      <x:c r="A19" s="73" t="str">
        <x:v>Cash Tax Rate</x:v>
      </x:c>
      <x:c r="B19" s="162" t="n">
        <x:v>0</x:v>
      </x:c>
      <x:c r="C19" s="162" t="n">
        <x:v>0</x:v>
      </x:c>
      <x:c r="D19" s="162" t="n">
        <x:v>0</x:v>
      </x:c>
      <x:c r="E19" s="162" t="n">
        <x:v>0.1</x:v>
      </x:c>
      <x:c r="F19" s="162" t="n">
        <x:v>0.15</x:v>
      </x:c>
      <x:c r="G19" s="162" t="n">
        <x:v>0.2</x:v>
      </x:c>
      <x:c r="H19" s="162" t="n">
        <x:v>0.22</x:v>
      </x:c>
      <x:c r="I19" s="162" t="n">
        <x:v>0.24</x:v>
      </x:c>
      <x:c r="J19" s="162" t="n">
        <x:v>0.25</x:v>
      </x:c>
      <x:c r="K19" s="162" t="n">
        <x:v>0.25</x:v>
      </x:c>
    </x:row>
    <x:row r="20">
      <x:c r="A20" s="73" t="str">
        <x:v>D&amp;A / Revenue</x:v>
      </x:c>
      <x:c r="B20" s="162" t="n">
        <x:v>0.018</x:v>
      </x:c>
      <x:c r="C20" s="162" t="n">
        <x:v>0.019</x:v>
      </x:c>
      <x:c r="D20" s="162" t="n">
        <x:v>0.02</x:v>
      </x:c>
      <x:c r="E20" s="162" t="n">
        <x:v>0.021</x:v>
      </x:c>
      <x:c r="F20" s="162" t="n">
        <x:v>0.022</x:v>
      </x:c>
      <x:c r="G20" s="162" t="n">
        <x:v>0.022</x:v>
      </x:c>
      <x:c r="H20" s="162" t="n">
        <x:v>0.023</x:v>
      </x:c>
      <x:c r="I20" s="162" t="n">
        <x:v>0.023</x:v>
      </x:c>
      <x:c r="J20" s="162" t="n">
        <x:v>0.023</x:v>
      </x:c>
      <x:c r="K20" s="162" t="n">
        <x:v>0.023</x:v>
      </x:c>
    </x:row>
    <x:row r="21">
      <x:c r="A21" s="73" t="str">
        <x:v>Capex / Revenue</x:v>
      </x:c>
      <x:c r="B21" s="162" t="n">
        <x:v>0.05</x:v>
      </x:c>
      <x:c r="C21" s="162" t="n">
        <x:v>0.049</x:v>
      </x:c>
      <x:c r="D21" s="162" t="n">
        <x:v>0.047</x:v>
      </x:c>
      <x:c r="E21" s="162" t="n">
        <x:v>0.045</x:v>
      </x:c>
      <x:c r="F21" s="162" t="n">
        <x:v>0.044</x:v>
      </x:c>
      <x:c r="G21" s="162" t="n">
        <x:v>0.043</x:v>
      </x:c>
      <x:c r="H21" s="162" t="n">
        <x:v>0.042</x:v>
      </x:c>
      <x:c r="I21" s="162" t="n">
        <x:v>0.041</x:v>
      </x:c>
      <x:c r="J21" s="162" t="n">
        <x:v>0.04</x:v>
      </x:c>
      <x:c r="K21" s="162" t="n">
        <x:v>0.04</x:v>
      </x:c>
    </x:row>
    <x:row r="22">
      <x:c r="A22" s="73" t="str">
        <x:v>Operating NWC / Revenue</x:v>
      </x:c>
      <x:c r="B22" s="162" t="n">
        <x:v>-0.18</x:v>
      </x:c>
      <x:c r="C22" s="162" t="n">
        <x:v>-0.17</x:v>
      </x:c>
      <x:c r="D22" s="162" t="n">
        <x:v>-0.16</x:v>
      </x:c>
      <x:c r="E22" s="162" t="n">
        <x:v>-0.15</x:v>
      </x:c>
      <x:c r="F22" s="162" t="n">
        <x:v>-0.14</x:v>
      </x:c>
      <x:c r="G22" s="162" t="n">
        <x:v>-0.13</x:v>
      </x:c>
      <x:c r="H22" s="162" t="n">
        <x:v>-0.12</x:v>
      </x:c>
      <x:c r="I22" s="162" t="n">
        <x:v>-0.11</x:v>
      </x:c>
      <x:c r="J22" s="162" t="n">
        <x:v>-0.105</x:v>
      </x:c>
      <x:c r="K22" s="162" t="n">
        <x:v>-0.1</x:v>
      </x:c>
    </x:row>
    <x:row r="23">
      <x:c r="A23" s="73" t="str">
        <x:v>WACC Adjustment</x:v>
      </x:c>
      <x:c r="B23" s="163" t="n">
        <x:v>0.01</x:v>
      </x:c>
      <x:c r="C23" s="73"/>
      <x:c r="D23" s="73"/>
      <x:c r="E23" s="73"/>
      <x:c r="F23" s="73"/>
      <x:c r="G23" s="73"/>
      <x:c r="H23" s="73"/>
      <x:c r="I23" s="73"/>
      <x:c r="J23" s="73"/>
      <x:c r="K23" s="73"/>
    </x:row>
    <x:row r="24">
      <x:c r="A24" s="73" t="str">
        <x:v>Terminal Growth</x:v>
      </x:c>
      <x:c r="B24" s="163" t="n">
        <x:v>0.025</x:v>
      </x:c>
      <x:c r="C24" s="73"/>
      <x:c r="D24" s="73"/>
      <x:c r="E24" s="73"/>
      <x:c r="F24" s="73"/>
      <x:c r="G24" s="73"/>
      <x:c r="H24" s="73"/>
      <x:c r="I24" s="73"/>
      <x:c r="J24" s="73"/>
      <x:c r="K24" s="73"/>
    </x:row>
    <x:row r="25">
      <x:c r="A25" s="73"/>
      <x:c r="B25" s="73"/>
      <x:c r="C25" s="73"/>
      <x:c r="D25" s="73"/>
      <x:c r="E25" s="73"/>
      <x:c r="F25" s="73"/>
      <x:c r="G25" s="73"/>
      <x:c r="H25" s="73"/>
      <x:c r="I25" s="73"/>
      <x:c r="J25" s="73"/>
      <x:c r="K25" s="73"/>
    </x:row>
    <x:row r="26">
      <x:c r="A26" s="73"/>
      <x:c r="B26" s="73"/>
      <x:c r="C26" s="73"/>
      <x:c r="D26" s="73"/>
      <x:c r="E26" s="73"/>
      <x:c r="F26" s="73"/>
      <x:c r="G26" s="73"/>
      <x:c r="H26" s="73"/>
      <x:c r="I26" s="73"/>
      <x:c r="J26" s="73"/>
      <x:c r="K26" s="73"/>
    </x:row>
    <x:row r="27" ht="22" customHeight="1">
      <x:c r="A27" s="74" t="str">
        <x:v>Upside Case</x:v>
      </x:c>
      <x:c r="B27" s="74"/>
      <x:c r="C27" s="74"/>
      <x:c r="D27" s="74"/>
      <x:c r="E27" s="74"/>
      <x:c r="F27" s="74"/>
      <x:c r="G27" s="74"/>
      <x:c r="H27" s="74"/>
      <x:c r="I27" s="74"/>
      <x:c r="J27" s="74"/>
      <x:c r="K27" s="74"/>
    </x:row>
    <x:row r="28">
      <x:c r="A28" s="73" t="str">
        <x:v>Revenue Growth</x:v>
      </x:c>
      <x:c r="B28" s="162" t="n">
        <x:v>0.27</x:v>
      </x:c>
      <x:c r="C28" s="162" t="n">
        <x:v>0.26</x:v>
      </x:c>
      <x:c r="D28" s="162" t="n">
        <x:v>0.24</x:v>
      </x:c>
      <x:c r="E28" s="162" t="n">
        <x:v>0.22</x:v>
      </x:c>
      <x:c r="F28" s="162" t="n">
        <x:v>0.19</x:v>
      </x:c>
      <x:c r="G28" s="162" t="n">
        <x:v>0.17</x:v>
      </x:c>
      <x:c r="H28" s="162" t="n">
        <x:v>0.15</x:v>
      </x:c>
      <x:c r="I28" s="162" t="n">
        <x:v>0.12</x:v>
      </x:c>
      <x:c r="J28" s="162" t="n">
        <x:v>0.1</x:v>
      </x:c>
      <x:c r="K28" s="162" t="n">
        <x:v>0.08</x:v>
      </x:c>
    </x:row>
    <x:row r="29">
      <x:c r="A29" s="73" t="str">
        <x:v>GAAP EBIT Margin</x:v>
      </x:c>
      <x:c r="B29" s="162" t="n">
        <x:v>0.02</x:v>
      </x:c>
      <x:c r="C29" s="162" t="n">
        <x:v>0.07</x:v>
      </x:c>
      <x:c r="D29" s="162" t="n">
        <x:v>0.12</x:v>
      </x:c>
      <x:c r="E29" s="162" t="n">
        <x:v>0.17</x:v>
      </x:c>
      <x:c r="F29" s="162" t="n">
        <x:v>0.22</x:v>
      </x:c>
      <x:c r="G29" s="162" t="n">
        <x:v>0.26</x:v>
      </x:c>
      <x:c r="H29" s="162" t="n">
        <x:v>0.29</x:v>
      </x:c>
      <x:c r="I29" s="162" t="n">
        <x:v>0.31</x:v>
      </x:c>
      <x:c r="J29" s="162" t="n">
        <x:v>0.33</x:v>
      </x:c>
      <x:c r="K29" s="162" t="n">
        <x:v>0.35</x:v>
      </x:c>
    </x:row>
    <x:row r="30">
      <x:c r="A30" s="73" t="str">
        <x:v>Cash Tax Rate</x:v>
      </x:c>
      <x:c r="B30" s="162" t="n">
        <x:v>0</x:v>
      </x:c>
      <x:c r="C30" s="162" t="n">
        <x:v>0.05</x:v>
      </x:c>
      <x:c r="D30" s="162" t="n">
        <x:v>0.12</x:v>
      </x:c>
      <x:c r="E30" s="162" t="n">
        <x:v>0.18</x:v>
      </x:c>
      <x:c r="F30" s="162" t="n">
        <x:v>0.22</x:v>
      </x:c>
      <x:c r="G30" s="162" t="n">
        <x:v>0.24</x:v>
      </x:c>
      <x:c r="H30" s="162" t="n">
        <x:v>0.25</x:v>
      </x:c>
      <x:c r="I30" s="162" t="n">
        <x:v>0.25</x:v>
      </x:c>
      <x:c r="J30" s="162" t="n">
        <x:v>0.25</x:v>
      </x:c>
      <x:c r="K30" s="162" t="n">
        <x:v>0.25</x:v>
      </x:c>
    </x:row>
    <x:row r="31">
      <x:c r="A31" s="73" t="str">
        <x:v>D&amp;A / Revenue</x:v>
      </x:c>
      <x:c r="B31" s="162" t="n">
        <x:v>0.018</x:v>
      </x:c>
      <x:c r="C31" s="162" t="n">
        <x:v>0.019</x:v>
      </x:c>
      <x:c r="D31" s="162" t="n">
        <x:v>0.02</x:v>
      </x:c>
      <x:c r="E31" s="162" t="n">
        <x:v>0.021</x:v>
      </x:c>
      <x:c r="F31" s="162" t="n">
        <x:v>0.022</x:v>
      </x:c>
      <x:c r="G31" s="162" t="n">
        <x:v>0.022</x:v>
      </x:c>
      <x:c r="H31" s="162" t="n">
        <x:v>0.022</x:v>
      </x:c>
      <x:c r="I31" s="162" t="n">
        <x:v>0.022</x:v>
      </x:c>
      <x:c r="J31" s="162" t="n">
        <x:v>0.022</x:v>
      </x:c>
      <x:c r="K31" s="162" t="n">
        <x:v>0.022</x:v>
      </x:c>
    </x:row>
    <x:row r="32">
      <x:c r="A32" s="73" t="str">
        <x:v>Capex / Revenue</x:v>
      </x:c>
      <x:c r="B32" s="162" t="n">
        <x:v>0.045</x:v>
      </x:c>
      <x:c r="C32" s="162" t="n">
        <x:v>0.042</x:v>
      </x:c>
      <x:c r="D32" s="162" t="n">
        <x:v>0.039</x:v>
      </x:c>
      <x:c r="E32" s="162" t="n">
        <x:v>0.037</x:v>
      </x:c>
      <x:c r="F32" s="162" t="n">
        <x:v>0.035</x:v>
      </x:c>
      <x:c r="G32" s="162" t="n">
        <x:v>0.034</x:v>
      </x:c>
      <x:c r="H32" s="162" t="n">
        <x:v>0.033</x:v>
      </x:c>
      <x:c r="I32" s="162" t="n">
        <x:v>0.033</x:v>
      </x:c>
      <x:c r="J32" s="162" t="n">
        <x:v>0.033</x:v>
      </x:c>
      <x:c r="K32" s="162" t="n">
        <x:v>0.033</x:v>
      </x:c>
    </x:row>
    <x:row r="33">
      <x:c r="A33" s="73" t="str">
        <x:v>Operating NWC / Revenue</x:v>
      </x:c>
      <x:c r="B33" s="162" t="n">
        <x:v>-0.185</x:v>
      </x:c>
      <x:c r="C33" s="162" t="n">
        <x:v>-0.185</x:v>
      </x:c>
      <x:c r="D33" s="162" t="n">
        <x:v>-0.18</x:v>
      </x:c>
      <x:c r="E33" s="162" t="n">
        <x:v>-0.175</x:v>
      </x:c>
      <x:c r="F33" s="162" t="n">
        <x:v>-0.17</x:v>
      </x:c>
      <x:c r="G33" s="162" t="n">
        <x:v>-0.165</x:v>
      </x:c>
      <x:c r="H33" s="162" t="n">
        <x:v>-0.16</x:v>
      </x:c>
      <x:c r="I33" s="162" t="n">
        <x:v>-0.155</x:v>
      </x:c>
      <x:c r="J33" s="162" t="n">
        <x:v>-0.15</x:v>
      </x:c>
      <x:c r="K33" s="162" t="n">
        <x:v>-0.15</x:v>
      </x:c>
    </x:row>
    <x:row r="34">
      <x:c r="A34" s="73" t="str">
        <x:v>WACC Adjustment</x:v>
      </x:c>
      <x:c r="B34" s="163" t="n">
        <x:v>-0.0075</x:v>
      </x:c>
      <x:c r="C34" s="73"/>
      <x:c r="D34" s="73"/>
      <x:c r="E34" s="73"/>
      <x:c r="F34" s="73"/>
      <x:c r="G34" s="73"/>
      <x:c r="H34" s="73"/>
      <x:c r="I34" s="73"/>
      <x:c r="J34" s="73"/>
      <x:c r="K34" s="73"/>
    </x:row>
    <x:row r="35">
      <x:c r="A35" s="73" t="str">
        <x:v>Terminal Growth</x:v>
      </x:c>
      <x:c r="B35" s="163" t="n">
        <x:v>0.035</x:v>
      </x:c>
      <x:c r="C35" s="73"/>
      <x:c r="D35" s="73"/>
      <x:c r="E35" s="73"/>
      <x:c r="F35" s="73"/>
      <x:c r="G35" s="73"/>
      <x:c r="H35" s="73"/>
      <x:c r="I35" s="73"/>
      <x:c r="J35" s="73"/>
      <x:c r="K35" s="73"/>
    </x:row>
    <x:row r="36">
      <x:c r="A36" s="73"/>
      <x:c r="B36" s="73"/>
      <x:c r="C36" s="73"/>
      <x:c r="D36" s="73"/>
      <x:c r="E36" s="73"/>
      <x:c r="F36" s="73"/>
      <x:c r="G36" s="73"/>
      <x:c r="H36" s="73"/>
      <x:c r="I36" s="73"/>
      <x:c r="J36" s="73"/>
      <x:c r="K36" s="73"/>
    </x:row>
    <x:row r="37">
      <x:c r="A37" s="73"/>
      <x:c r="B37" s="73"/>
      <x:c r="C37" s="73"/>
      <x:c r="D37" s="73"/>
      <x:c r="E37" s="73"/>
      <x:c r="F37" s="73"/>
      <x:c r="G37" s="73"/>
      <x:c r="H37" s="73"/>
      <x:c r="I37" s="73"/>
      <x:c r="J37" s="73"/>
      <x:c r="K37" s="73"/>
    </x:row>
    <x:row r="38" ht="22" customHeight="1">
      <x:c r="A38" s="74" t="str">
        <x:v>WACC Build</x:v>
      </x:c>
      <x:c r="B38" s="74"/>
      <x:c r="C38" s="73"/>
      <x:c r="D38" s="74" t="str">
        <x:v>Equity Bridge</x:v>
      </x:c>
      <x:c r="E38" s="74"/>
      <x:c r="F38" s="73"/>
      <x:c r="G38" s="74" t="str">
        <x:v>FY2025 Actual Base</x:v>
      </x:c>
      <x:c r="H38" s="74"/>
      <x:c r="I38" s="73"/>
      <x:c r="J38" s="74" t="str">
        <x:v>Scenario Probabilities</x:v>
      </x:c>
      <x:c r="K38" s="74"/>
    </x:row>
    <x:row r="39" ht="28" customHeight="1">
      <x:c r="A39" s="73" t="str">
        <x:v>Risk-Free Rate</x:v>
      </x:c>
      <x:c r="B39" s="163" t="n">
        <x:v>0.0463</x:v>
      </x:c>
      <x:c r="C39" s="73"/>
      <x:c r="D39" s="164" t="str">
        <x:v>Cash &amp; Marketable Securities</x:v>
      </x:c>
      <x:c r="E39" s="165" t="n">
        <x:v>4758.617</x:v>
      </x:c>
      <x:c r="F39" s="73"/>
      <x:c r="G39" s="164" t="str">
        <x:v>Revenue</x:v>
      </x:c>
      <x:c r="H39" s="166" t="n">
        <x:v>3427.158</x:v>
      </x:c>
      <x:c r="I39" s="73"/>
      <x:c r="J39" s="73" t="str">
        <x:v>Downside</x:v>
      </x:c>
      <x:c r="K39" s="162" t="n">
        <x:v>0.25</x:v>
      </x:c>
    </x:row>
    <x:row r="40" ht="28" customHeight="1">
      <x:c r="A40" s="73" t="str">
        <x:v>Bottom-Up Beta</x:v>
      </x:c>
      <x:c r="B40" s="167" t="n">
        <x:v>1.25</x:v>
      </x:c>
      <x:c r="C40" s="73"/>
      <x:c r="D40" s="164" t="str">
        <x:v>Convertible Debt</x:v>
      </x:c>
      <x:c r="E40" s="165" t="n">
        <x:v>984.496</x:v>
      </x:c>
      <x:c r="F40" s="73"/>
      <x:c r="G40" s="164" t="str">
        <x:v>GAAP EBIT</x:v>
      </x:c>
      <x:c r="H40" s="166" t="n">
        <x:v>-44.373</x:v>
      </x:c>
      <x:c r="I40" s="73"/>
      <x:c r="J40" s="73" t="str">
        <x:v>Base</x:v>
      </x:c>
      <x:c r="K40" s="162" t="n">
        <x:v>0.55</x:v>
      </x:c>
    </x:row>
    <x:row r="41" ht="28" customHeight="1">
      <x:c r="A41" s="73" t="str">
        <x:v>Equity Risk Premium</x:v>
      </x:c>
      <x:c r="B41" s="163" t="n">
        <x:v>0.0418</x:v>
      </x:c>
      <x:c r="C41" s="73"/>
      <x:c r="D41" s="164" t="str">
        <x:v>Operating Lease Liabilities</x:v>
      </x:c>
      <x:c r="E41" s="165" t="n">
        <x:v>300.556</x:v>
      </x:c>
      <x:c r="F41" s="73"/>
      <x:c r="G41" s="164" t="str">
        <x:v>D&amp;A</x:v>
      </x:c>
      <x:c r="H41" s="166" t="n">
        <x:v>55.756</x:v>
      </x:c>
      <x:c r="I41" s="73"/>
      <x:c r="J41" s="73" t="str">
        <x:v>Upside</x:v>
      </x:c>
      <x:c r="K41" s="162" t="n">
        <x:v>0.2</x:v>
      </x:c>
    </x:row>
    <x:row r="42" ht="28" customHeight="1">
      <x:c r="A42" s="73" t="str">
        <x:v>Cost of Equity</x:v>
      </x:c>
      <x:c r="B42" s="168" t="n">
        <x:f>B39+B40*B41</x:f>
        <x:v>0.09855</x:v>
      </x:c>
      <x:c r="C42" s="73"/>
      <x:c r="D42" s="164" t="str">
        <x:v>Diluted Shares (ex-note shares)</x:v>
      </x:c>
      <x:c r="E42" s="169" t="n">
        <x:v>367.4</x:v>
      </x:c>
      <x:c r="F42" s="73"/>
      <x:c r="G42" s="164" t="str">
        <x:v>Capex + Capitalized Software</x:v>
      </x:c>
      <x:c r="H42" s="166" t="n">
        <x:v>135.418</x:v>
      </x:c>
      <x:c r="I42" s="73"/>
      <x:c r="J42" s="73"/>
      <x:c r="K42" s="73"/>
    </x:row>
    <x:row r="43" ht="28" customHeight="1">
      <x:c r="A43" s="73" t="str">
        <x:v>Pre-Tax Cost of Debt</x:v>
      </x:c>
      <x:c r="B43" s="163" t="n">
        <x:v>0.055</x:v>
      </x:c>
      <x:c r="C43" s="73"/>
      <x:c r="D43" s="170" t="str">
        <x:v>Net Cash</x:v>
      </x:c>
      <x:c r="E43" s="171" t="n">
        <x:f>E39-E40-E41</x:f>
        <x:v>3473.565</x:v>
      </x:c>
      <x:c r="F43" s="73"/>
      <x:c r="G43" s="164" t="str">
        <x:v>Operating NWC</x:v>
      </x:c>
      <x:c r="H43" s="166" t="n">
        <x:v>-644.588</x:v>
      </x:c>
      <x:c r="I43" s="73"/>
      <x:c r="J43" s="73"/>
      <x:c r="K43" s="73"/>
    </x:row>
    <x:row r="44" ht="28" customHeight="1">
      <x:c r="A44" s="73" t="str">
        <x:v>Marginal Tax Rate</x:v>
      </x:c>
      <x:c r="B44" s="163" t="n">
        <x:v>0.25</x:v>
      </x:c>
      <x:c r="C44" s="73"/>
      <x:c r="D44" s="172" t="str">
        <x:v>Market Equity Value</x:v>
      </x:c>
      <x:c r="E44" s="173" t="n">
        <x:f>$B$49*E42</x:f>
        <x:v>105866.30999999998</x:v>
      </x:c>
      <x:c r="F44" s="73"/>
      <x:c r="G44" s="164" t="str">
        <x:v>Change in Operating NWC</x:v>
      </x:c>
      <x:c r="H44" s="166" t="n">
        <x:v>-169.924</x:v>
      </x:c>
      <x:c r="I44" s="73"/>
      <x:c r="J44" s="73"/>
      <x:c r="K44" s="73"/>
    </x:row>
    <x:row r="45" ht="28" customHeight="1">
      <x:c r="A45" s="73" t="str">
        <x:v>Debt Weight</x:v>
      </x:c>
      <x:c r="B45" s="163" t="n">
        <x:v>0.01</x:v>
      </x:c>
      <x:c r="C45" s="73"/>
      <x:c r="D45" s="174" t="str">
        <x:v>Market-Implied Enterprise Value</x:v>
      </x:c>
      <x:c r="E45" s="175" t="n">
        <x:f>E44-E43</x:f>
        <x:v>102392.74499999998</x:v>
      </x:c>
      <x:c r="F45" s="73"/>
      <x:c r="G45" s="164" t="str">
        <x:v>Analyst FCFF</x:v>
      </x:c>
      <x:c r="H45" s="166" t="n">
        <x:v>45.889</x:v>
      </x:c>
      <x:c r="I45" s="73"/>
      <x:c r="J45" s="73"/>
      <x:c r="K45" s="73"/>
    </x:row>
    <x:row r="46">
      <x:c r="A46" s="73" t="str">
        <x:v>Equity Weight</x:v>
      </x:c>
      <x:c r="B46" s="163" t="n">
        <x:v>0.99</x:v>
      </x:c>
      <x:c r="C46" s="73"/>
      <x:c r="D46" s="73"/>
      <x:c r="E46" s="73"/>
      <x:c r="F46" s="73"/>
      <x:c r="G46" s="73"/>
      <x:c r="H46" s="73"/>
      <x:c r="I46" s="73"/>
      <x:c r="J46" s="73"/>
      <x:c r="K46" s="73"/>
    </x:row>
    <x:row r="47">
      <x:c r="A47" s="176" t="str">
        <x:v>WACC</x:v>
      </x:c>
      <x:c r="B47" s="177" t="n">
        <x:f>B42*B46+B43*(1-B44)*B45</x:f>
        <x:v>0.097977</x:v>
      </x:c>
      <x:c r="C47" s="73"/>
      <x:c r="D47" s="73"/>
      <x:c r="E47" s="73"/>
      <x:c r="F47" s="73"/>
      <x:c r="G47" s="73"/>
      <x:c r="H47" s="73"/>
      <x:c r="I47" s="73"/>
      <x:c r="J47" s="73"/>
      <x:c r="K47" s="73"/>
    </x:row>
    <x:row r="48">
      <x:c r="A48" s="73" t="str">
        <x:v>Base Terminal Growth</x:v>
      </x:c>
      <x:c r="B48" s="163" t="n">
        <x:v>0.0325</x:v>
      </x:c>
      <x:c r="C48" s="73"/>
      <x:c r="D48" s="73"/>
      <x:c r="E48" s="73"/>
      <x:c r="F48" s="73"/>
      <x:c r="G48" s="73"/>
      <x:c r="H48" s="73"/>
      <x:c r="I48" s="73"/>
      <x:c r="J48" s="73"/>
      <x:c r="K48" s="73"/>
    </x:row>
    <x:row r="49">
      <x:c r="A49" s="73" t="str">
        <x:v>Current Share Price</x:v>
      </x:c>
      <x:c r="B49" s="178" t="n">
        <x:v>288.15</x:v>
      </x:c>
      <x:c r="C49" s="73"/>
      <x:c r="D49" s="73"/>
      <x:c r="E49" s="73"/>
      <x:c r="F49" s="73"/>
      <x:c r="G49" s="73"/>
      <x:c r="H49" s="73"/>
      <x:c r="I49" s="73"/>
      <x:c r="J49" s="73"/>
      <x:c r="K49" s="73"/>
    </x:row>
    <x:row r="50">
      <x:c r="A50" s="73"/>
      <x:c r="B50" s="73"/>
      <x:c r="C50" s="73"/>
      <x:c r="D50" s="73"/>
      <x:c r="E50" s="73"/>
      <x:c r="F50" s="73"/>
      <x:c r="G50" s="73"/>
      <x:c r="H50" s="73"/>
      <x:c r="I50" s="73"/>
      <x:c r="J50" s="73"/>
      <x:c r="K50" s="73"/>
    </x:row>
    <x:row r="51">
      <x:c r="A51" s="73"/>
      <x:c r="B51" s="73"/>
      <x:c r="C51" s="73"/>
      <x:c r="D51" s="73"/>
      <x:c r="E51" s="73"/>
      <x:c r="F51" s="73"/>
      <x:c r="G51" s="73"/>
      <x:c r="H51" s="73"/>
      <x:c r="I51" s="73"/>
      <x:c r="J51" s="73"/>
      <x:c r="K51" s="73"/>
    </x:row>
    <x:row r="52">
      <x:c r="A52" s="73"/>
      <x:c r="B52" s="73"/>
      <x:c r="C52" s="73"/>
      <x:c r="D52" s="73"/>
      <x:c r="E52" s="73"/>
      <x:c r="F52" s="73"/>
      <x:c r="G52" s="73"/>
      <x:c r="H52" s="73"/>
      <x:c r="I52" s="73"/>
      <x:c r="J52" s="73"/>
      <x:c r="K52" s="73"/>
    </x:row>
  </x:sheetData>
  <x:mergeCells>
    <x:mergeCell ref="A1:K2"/>
    <x:mergeCell ref="A5:K5"/>
    <x:mergeCell ref="A16:K16"/>
    <x:mergeCell ref="A27:K27"/>
    <x:mergeCell ref="A38:B38"/>
    <x:mergeCell ref="D38:E38"/>
    <x:mergeCell ref="G38:H38"/>
    <x:mergeCell ref="J38:K38"/>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s>
  <x:sheetData>
    <x:row r="1" ht="30" customHeight="1">
      <x:c r="A1" s="71" t="str">
        <x:v>10-Year FCFF DCF — Base / Downside / Upside</x:v>
      </x:c>
      <x:c r="B1" s="71"/>
      <x:c r="C1" s="71"/>
      <x:c r="D1" s="71"/>
      <x:c r="E1" s="71"/>
      <x:c r="F1" s="71"/>
      <x:c r="G1" s="71"/>
      <x:c r="H1" s="71"/>
      <x:c r="I1" s="71"/>
      <x:c r="J1" s="71"/>
      <x:c r="K1" s="71"/>
    </x:row>
    <x:row r="2" ht="30" customHeight="1">
      <x:c r="A2" s="71"/>
      <x:c r="B2" s="71"/>
      <x:c r="C2" s="71"/>
      <x:c r="D2" s="71"/>
      <x:c r="E2" s="71"/>
      <x:c r="F2" s="71"/>
      <x:c r="G2" s="71"/>
      <x:c r="H2" s="71"/>
      <x:c r="I2" s="71"/>
      <x:c r="J2" s="71"/>
      <x:c r="K2" s="71"/>
    </x:row>
    <x:row r="3">
      <x:c r="A3" s="73"/>
      <x:c r="B3" s="73"/>
      <x:c r="C3" s="73"/>
      <x:c r="D3" s="73"/>
      <x:c r="E3" s="73"/>
      <x:c r="F3" s="73"/>
      <x:c r="G3" s="73"/>
      <x:c r="H3" s="73"/>
      <x:c r="I3" s="73"/>
      <x:c r="J3" s="73"/>
      <x:c r="K3" s="73"/>
    </x:row>
    <x:row r="4" ht="22" customHeight="1">
      <x:c r="A4" s="74" t="str">
        <x:v>Base Case</x:v>
      </x:c>
      <x:c r="B4" s="74"/>
      <x:c r="C4" s="74"/>
      <x:c r="D4" s="74"/>
      <x:c r="E4" s="74"/>
      <x:c r="F4" s="74"/>
      <x:c r="G4" s="74"/>
      <x:c r="H4" s="74"/>
      <x:c r="I4" s="74"/>
      <x:c r="J4" s="74"/>
      <x:c r="K4" s="74"/>
    </x:row>
    <x:row r="5">
      <x:c r="A5" s="159" t="str">
        <x:v>Fiscal Year</x:v>
      </x:c>
      <x:c r="B5" s="160" t="n">
        <x:v>2026</x:v>
      </x:c>
      <x:c r="C5" s="160" t="n">
        <x:v>2027</x:v>
      </x:c>
      <x:c r="D5" s="160" t="n">
        <x:v>2028</x:v>
      </x:c>
      <x:c r="E5" s="160" t="n">
        <x:v>2029</x:v>
      </x:c>
      <x:c r="F5" s="160" t="n">
        <x:v>2030</x:v>
      </x:c>
      <x:c r="G5" s="160" t="n">
        <x:v>2031</x:v>
      </x:c>
      <x:c r="H5" s="160" t="n">
        <x:v>2032</x:v>
      </x:c>
      <x:c r="I5" s="160" t="n">
        <x:v>2033</x:v>
      </x:c>
      <x:c r="J5" s="160" t="n">
        <x:v>2034</x:v>
      </x:c>
      <x:c r="K5" s="161" t="n">
        <x:v>2035</x:v>
      </x:c>
    </x:row>
    <x:row r="6">
      <x:c r="A6" s="73" t="str">
        <x:v>Revenue Growth</x:v>
      </x:c>
      <x:c r="B6" s="191" t="n">
        <x:f>'Assumptions'!B$6</x:f>
        <x:v>0.2605</x:v>
      </x:c>
      <x:c r="C6" s="191" t="n">
        <x:f>'Assumptions'!C$6</x:f>
        <x:v>0.23</x:v>
      </x:c>
      <x:c r="D6" s="191" t="n">
        <x:f>'Assumptions'!D$6</x:f>
        <x:v>0.2</x:v>
      </x:c>
      <x:c r="E6" s="191" t="n">
        <x:f>'Assumptions'!E$6</x:f>
        <x:v>0.17</x:v>
      </x:c>
      <x:c r="F6" s="191" t="n">
        <x:f>'Assumptions'!F$6</x:f>
        <x:v>0.14</x:v>
      </x:c>
      <x:c r="G6" s="191" t="n">
        <x:f>'Assumptions'!G$6</x:f>
        <x:v>0.12</x:v>
      </x:c>
      <x:c r="H6" s="191" t="n">
        <x:f>'Assumptions'!H$6</x:f>
        <x:v>0.1</x:v>
      </x:c>
      <x:c r="I6" s="191" t="n">
        <x:f>'Assumptions'!I$6</x:f>
        <x:v>0.08</x:v>
      </x:c>
      <x:c r="J6" s="191" t="n">
        <x:f>'Assumptions'!J$6</x:f>
        <x:v>0.065</x:v>
      </x:c>
      <x:c r="K6" s="191" t="n">
        <x:f>'Assumptions'!K$6</x:f>
        <x:v>0.05</x:v>
      </x:c>
    </x:row>
    <x:row r="7">
      <x:c r="A7" s="73" t="str">
        <x:v>Revenue</x:v>
      </x:c>
      <x:c r="B7" s="192" t="n">
        <x:f>'Assumptions'!$H$39*(1+B6)</x:f>
        <x:v>4319.932659</x:v>
      </x:c>
      <x:c r="C7" s="192" t="n">
        <x:f>B7*(1+C6)</x:f>
        <x:v>5313.51717057</x:v>
      </x:c>
      <x:c r="D7" s="192" t="n">
        <x:f>C7*(1+D6)</x:f>
        <x:v>6376.220604684</x:v>
      </x:c>
      <x:c r="E7" s="192" t="n">
        <x:f>D7*(1+E6)</x:f>
        <x:v>7460.178107480279</x:v>
      </x:c>
      <x:c r="F7" s="192" t="n">
        <x:f>E7*(1+F6)</x:f>
        <x:v>8504.603042527518</x:v>
      </x:c>
      <x:c r="G7" s="192" t="n">
        <x:f>F7*(1+G6)</x:f>
        <x:v>9525.155407630822</x:v>
      </x:c>
      <x:c r="H7" s="192" t="n">
        <x:f>G7*(1+H6)</x:f>
        <x:v>10477.670948393905</x:v>
      </x:c>
      <x:c r="I7" s="192" t="n">
        <x:f>H7*(1+I6)</x:f>
        <x:v>11315.884624265418</x:v>
      </x:c>
      <x:c r="J7" s="192" t="n">
        <x:f>I7*(1+J6)</x:f>
        <x:v>12051.41712484267</x:v>
      </x:c>
      <x:c r="K7" s="192" t="n">
        <x:f>J7*(1+K6)</x:f>
        <x:v>12653.987981084803</x:v>
      </x:c>
    </x:row>
    <x:row r="8">
      <x:c r="A8" s="73" t="str">
        <x:v>GAAP EBIT Margin</x:v>
      </x:c>
      <x:c r="B8" s="191" t="n">
        <x:f>'Assumptions'!B$7</x:f>
        <x:v>0.015</x:v>
      </x:c>
      <x:c r="C8" s="191" t="n">
        <x:f>'Assumptions'!C$7</x:f>
        <x:v>0.05</x:v>
      </x:c>
      <x:c r="D8" s="191" t="n">
        <x:f>'Assumptions'!D$7</x:f>
        <x:v>0.09</x:v>
      </x:c>
      <x:c r="E8" s="191" t="n">
        <x:f>'Assumptions'!E$7</x:f>
        <x:v>0.13</x:v>
      </x:c>
      <x:c r="F8" s="191" t="n">
        <x:f>'Assumptions'!F$7</x:f>
        <x:v>0.17</x:v>
      </x:c>
      <x:c r="G8" s="191" t="n">
        <x:f>'Assumptions'!G$7</x:f>
        <x:v>0.2</x:v>
      </x:c>
      <x:c r="H8" s="191" t="n">
        <x:f>'Assumptions'!H$7</x:f>
        <x:v>0.22</x:v>
      </x:c>
      <x:c r="I8" s="191" t="n">
        <x:f>'Assumptions'!I$7</x:f>
        <x:v>0.24</x:v>
      </x:c>
      <x:c r="J8" s="191" t="n">
        <x:f>'Assumptions'!J$7</x:f>
        <x:v>0.26</x:v>
      </x:c>
      <x:c r="K8" s="191" t="n">
        <x:f>'Assumptions'!K$7</x:f>
        <x:v>0.28</x:v>
      </x:c>
    </x:row>
    <x:row r="9">
      <x:c r="A9" s="73" t="str">
        <x:v>GAAP EBIT</x:v>
      </x:c>
      <x:c r="B9" s="192" t="n">
        <x:f>B7*B8</x:f>
        <x:v>64.798989885</x:v>
      </x:c>
      <x:c r="C9" s="192" t="n">
        <x:f>C7*C8</x:f>
        <x:v>265.67585852850004</x:v>
      </x:c>
      <x:c r="D9" s="192" t="n">
        <x:f>D7*D8</x:f>
        <x:v>573.85985442156</x:v>
      </x:c>
      <x:c r="E9" s="192" t="n">
        <x:f>E7*E8</x:f>
        <x:v>969.8231539724363</x:v>
      </x:c>
      <x:c r="F9" s="192" t="n">
        <x:f>F7*F8</x:f>
        <x:v>1445.7825172296782</x:v>
      </x:c>
      <x:c r="G9" s="192" t="n">
        <x:f>G7*G8</x:f>
        <x:v>1905.0310815261646</x:v>
      </x:c>
      <x:c r="H9" s="192" t="n">
        <x:f>H7*H8</x:f>
        <x:v>2305.087608646659</x:v>
      </x:c>
      <x:c r="I9" s="192" t="n">
        <x:f>I7*I8</x:f>
        <x:v>2715.8123098237</x:v>
      </x:c>
      <x:c r="J9" s="192" t="n">
        <x:f>J7*J8</x:f>
        <x:v>3133.3684524590944</x:v>
      </x:c>
      <x:c r="K9" s="192" t="n">
        <x:f>K7*K8</x:f>
        <x:v>3543.116634703745</x:v>
      </x:c>
    </x:row>
    <x:row r="10">
      <x:c r="A10" s="73" t="str">
        <x:v>Cash Tax Rate</x:v>
      </x:c>
      <x:c r="B10" s="191" t="n">
        <x:f>'Assumptions'!B$8</x:f>
        <x:v>0</x:v>
      </x:c>
      <x:c r="C10" s="191" t="n">
        <x:f>'Assumptions'!C$8</x:f>
        <x:v>0</x:v>
      </x:c>
      <x:c r="D10" s="191" t="n">
        <x:f>'Assumptions'!D$8</x:f>
        <x:v>0.1</x:v>
      </x:c>
      <x:c r="E10" s="191" t="n">
        <x:f>'Assumptions'!E$8</x:f>
        <x:v>0.15</x:v>
      </x:c>
      <x:c r="F10" s="191" t="n">
        <x:f>'Assumptions'!F$8</x:f>
        <x:v>0.2</x:v>
      </x:c>
      <x:c r="G10" s="191" t="n">
        <x:f>'Assumptions'!G$8</x:f>
        <x:v>0.22</x:v>
      </x:c>
      <x:c r="H10" s="191" t="n">
        <x:f>'Assumptions'!H$8</x:f>
        <x:v>0.24</x:v>
      </x:c>
      <x:c r="I10" s="191" t="n">
        <x:f>'Assumptions'!I$8</x:f>
        <x:v>0.25</x:v>
      </x:c>
      <x:c r="J10" s="191" t="n">
        <x:f>'Assumptions'!J$8</x:f>
        <x:v>0.25</x:v>
      </x:c>
      <x:c r="K10" s="191" t="n">
        <x:f>'Assumptions'!K$8</x:f>
        <x:v>0.25</x:v>
      </x:c>
    </x:row>
    <x:row r="11">
      <x:c r="A11" s="73" t="str">
        <x:v>Cash Taxes</x:v>
      </x:c>
      <x:c r="B11" s="192" t="n">
        <x:f>MAX(B9*B10,0)</x:f>
        <x:v>0</x:v>
      </x:c>
      <x:c r="C11" s="192" t="n">
        <x:f>MAX(C9*C10,0)</x:f>
        <x:v>0</x:v>
      </x:c>
      <x:c r="D11" s="192" t="n">
        <x:f>MAX(D9*D10,0)</x:f>
        <x:v>57.385985442156006</x:v>
      </x:c>
      <x:c r="E11" s="192" t="n">
        <x:f>MAX(E9*E10,0)</x:f>
        <x:v>145.47347309586544</x:v>
      </x:c>
      <x:c r="F11" s="192" t="n">
        <x:f>MAX(F9*F10,0)</x:f>
        <x:v>289.15650344593564</x:v>
      </x:c>
      <x:c r="G11" s="192" t="n">
        <x:f>MAX(G9*G10,0)</x:f>
        <x:v>419.10683793575623</x:v>
      </x:c>
      <x:c r="H11" s="192" t="n">
        <x:f>MAX(H9*H10,0)</x:f>
        <x:v>553.2210260751982</x:v>
      </x:c>
      <x:c r="I11" s="192" t="n">
        <x:f>MAX(I9*I10,0)</x:f>
        <x:v>678.953077455925</x:v>
      </x:c>
      <x:c r="J11" s="192" t="n">
        <x:f>MAX(J9*J10,0)</x:f>
        <x:v>783.3421131147736</x:v>
      </x:c>
      <x:c r="K11" s="192" t="n">
        <x:f>MAX(K9*K10,0)</x:f>
        <x:v>885.7791586759363</x:v>
      </x:c>
    </x:row>
    <x:row r="12">
      <x:c r="A12" s="73" t="str">
        <x:v>NOPAT</x:v>
      </x:c>
      <x:c r="B12" s="192" t="n">
        <x:f>B9-B11</x:f>
        <x:v>64.798989885</x:v>
      </x:c>
      <x:c r="C12" s="192" t="n">
        <x:f>C9-C11</x:f>
        <x:v>265.67585852850004</x:v>
      </x:c>
      <x:c r="D12" s="192" t="n">
        <x:f>D9-D11</x:f>
        <x:v>516.4738689794041</x:v>
      </x:c>
      <x:c r="E12" s="192" t="n">
        <x:f>E9-E11</x:f>
        <x:v>824.3496808765709</x:v>
      </x:c>
      <x:c r="F12" s="192" t="n">
        <x:f>F9-F11</x:f>
        <x:v>1156.6260137837426</x:v>
      </x:c>
      <x:c r="G12" s="192" t="n">
        <x:f>G9-G11</x:f>
        <x:v>1485.9242435904084</x:v>
      </x:c>
      <x:c r="H12" s="192" t="n">
        <x:f>H9-H11</x:f>
        <x:v>1751.866582571461</x:v>
      </x:c>
      <x:c r="I12" s="192" t="n">
        <x:f>I9-I11</x:f>
        <x:v>2036.8592323677751</x:v>
      </x:c>
      <x:c r="J12" s="192" t="n">
        <x:f>J9-J11</x:f>
        <x:v>2350.026339344321</x:v>
      </x:c>
      <x:c r="K12" s="192" t="n">
        <x:f>K9-K11</x:f>
        <x:v>2657.337476027809</x:v>
      </x:c>
    </x:row>
    <x:row r="13">
      <x:c r="A13" s="73"/>
      <x:c r="B13" s="73"/>
      <x:c r="C13" s="73"/>
      <x:c r="D13" s="73"/>
      <x:c r="E13" s="73"/>
      <x:c r="F13" s="73"/>
      <x:c r="G13" s="73"/>
      <x:c r="H13" s="73"/>
      <x:c r="I13" s="73"/>
      <x:c r="J13" s="73"/>
      <x:c r="K13" s="73"/>
    </x:row>
    <x:row r="14">
      <x:c r="A14" s="73" t="str">
        <x:v>D&amp;A / Revenue</x:v>
      </x:c>
      <x:c r="B14" s="191" t="n">
        <x:f>'Assumptions'!B$9</x:f>
        <x:v>0.018</x:v>
      </x:c>
      <x:c r="C14" s="191" t="n">
        <x:f>'Assumptions'!C$9</x:f>
        <x:v>0.019</x:v>
      </x:c>
      <x:c r="D14" s="191" t="n">
        <x:f>'Assumptions'!D$9</x:f>
        <x:v>0.02</x:v>
      </x:c>
      <x:c r="E14" s="191" t="n">
        <x:f>'Assumptions'!E$9</x:f>
        <x:v>0.021</x:v>
      </x:c>
      <x:c r="F14" s="191" t="n">
        <x:f>'Assumptions'!F$9</x:f>
        <x:v>0.022</x:v>
      </x:c>
      <x:c r="G14" s="191" t="n">
        <x:f>'Assumptions'!G$9</x:f>
        <x:v>0.022</x:v>
      </x:c>
      <x:c r="H14" s="191" t="n">
        <x:f>'Assumptions'!H$9</x:f>
        <x:v>0.022</x:v>
      </x:c>
      <x:c r="I14" s="191" t="n">
        <x:f>'Assumptions'!I$9</x:f>
        <x:v>0.022</x:v>
      </x:c>
      <x:c r="J14" s="191" t="n">
        <x:f>'Assumptions'!J$9</x:f>
        <x:v>0.022</x:v>
      </x:c>
      <x:c r="K14" s="191" t="n">
        <x:f>'Assumptions'!K$9</x:f>
        <x:v>0.022</x:v>
      </x:c>
    </x:row>
    <x:row r="15">
      <x:c r="A15" s="73" t="str">
        <x:v>D&amp;A</x:v>
      </x:c>
      <x:c r="B15" s="192" t="n">
        <x:f>B7*B14</x:f>
        <x:v>77.75878786199999</x:v>
      </x:c>
      <x:c r="C15" s="192" t="n">
        <x:f>C7*C14</x:f>
        <x:v>100.95682624083001</x:v>
      </x:c>
      <x:c r="D15" s="192" t="n">
        <x:f>D7*D14</x:f>
        <x:v>127.52441209368</x:v>
      </x:c>
      <x:c r="E15" s="192" t="n">
        <x:f>E7*E14</x:f>
        <x:v>156.66374025708586</x:v>
      </x:c>
      <x:c r="F15" s="192" t="n">
        <x:f>F7*F14</x:f>
        <x:v>187.1012669356054</x:v>
      </x:c>
      <x:c r="G15" s="192" t="n">
        <x:f>G7*G14</x:f>
        <x:v>209.5534189678781</x:v>
      </x:c>
      <x:c r="H15" s="192" t="n">
        <x:f>H7*H14</x:f>
        <x:v>230.5087608646659</x:v>
      </x:c>
      <x:c r="I15" s="192" t="n">
        <x:f>I7*I14</x:f>
        <x:v>248.94946173383917</x:v>
      </x:c>
      <x:c r="J15" s="192" t="n">
        <x:f>J7*J14</x:f>
        <x:v>265.1311767465387</x:v>
      </x:c>
      <x:c r="K15" s="192" t="n">
        <x:f>K7*K14</x:f>
        <x:v>278.38773558386566</x:v>
      </x:c>
    </x:row>
    <x:row r="16">
      <x:c r="A16" s="73" t="str">
        <x:v>Capex / Revenue</x:v>
      </x:c>
      <x:c r="B16" s="191" t="n">
        <x:f>'Assumptions'!B$10</x:f>
        <x:v>0.045</x:v>
      </x:c>
      <x:c r="C16" s="191" t="n">
        <x:f>'Assumptions'!C$10</x:f>
        <x:v>0.043</x:v>
      </x:c>
      <x:c r="D16" s="191" t="n">
        <x:f>'Assumptions'!D$10</x:f>
        <x:v>0.041</x:v>
      </x:c>
      <x:c r="E16" s="191" t="n">
        <x:f>'Assumptions'!E$10</x:f>
        <x:v>0.039</x:v>
      </x:c>
      <x:c r="F16" s="191" t="n">
        <x:f>'Assumptions'!F$10</x:f>
        <x:v>0.038</x:v>
      </x:c>
      <x:c r="G16" s="191" t="n">
        <x:f>'Assumptions'!G$10</x:f>
        <x:v>0.037</x:v>
      </x:c>
      <x:c r="H16" s="191" t="n">
        <x:f>'Assumptions'!H$10</x:f>
        <x:v>0.036</x:v>
      </x:c>
      <x:c r="I16" s="191" t="n">
        <x:f>'Assumptions'!I$10</x:f>
        <x:v>0.035</x:v>
      </x:c>
      <x:c r="J16" s="191" t="n">
        <x:f>'Assumptions'!J$10</x:f>
        <x:v>0.035</x:v>
      </x:c>
      <x:c r="K16" s="191" t="n">
        <x:f>'Assumptions'!K$10</x:f>
        <x:v>0.035</x:v>
      </x:c>
    </x:row>
    <x:row r="17">
      <x:c r="A17" s="73" t="str">
        <x:v>Capex + Capitalized Software</x:v>
      </x:c>
      <x:c r="B17" s="192" t="n">
        <x:f>B7*B16</x:f>
        <x:v>194.396969655</x:v>
      </x:c>
      <x:c r="C17" s="192" t="n">
        <x:f>C7*C16</x:f>
        <x:v>228.48123833451</x:v>
      </x:c>
      <x:c r="D17" s="192" t="n">
        <x:f>D7*D16</x:f>
        <x:v>261.425044792044</x:v>
      </x:c>
      <x:c r="E17" s="192" t="n">
        <x:f>E7*E16</x:f>
        <x:v>290.9469461917309</x:v>
      </x:c>
      <x:c r="F17" s="192" t="n">
        <x:f>F7*F16</x:f>
        <x:v>323.17491561604567</x:v>
      </x:c>
      <x:c r="G17" s="192" t="n">
        <x:f>G7*G16</x:f>
        <x:v>352.4307500823404</x:v>
      </x:c>
      <x:c r="H17" s="192" t="n">
        <x:f>H7*H16</x:f>
        <x:v>377.19615414218055</x:v>
      </x:c>
      <x:c r="I17" s="192" t="n">
        <x:f>I7*I16</x:f>
        <x:v>396.05596184928964</x:v>
      </x:c>
      <x:c r="J17" s="192" t="n">
        <x:f>J7*J16</x:f>
        <x:v>421.7995993694935</x:v>
      </x:c>
      <x:c r="K17" s="192" t="n">
        <x:f>K7*K16</x:f>
        <x:v>442.88957933796814</x:v>
      </x:c>
    </x:row>
    <x:row r="18">
      <x:c r="A18" s="73" t="str">
        <x:v>Operating NWC / Revenue</x:v>
      </x:c>
      <x:c r="B18" s="191" t="n">
        <x:f>'Assumptions'!B$11</x:f>
        <x:v>-0.18</x:v>
      </x:c>
      <x:c r="C18" s="191" t="n">
        <x:f>'Assumptions'!C$11</x:f>
        <x:v>-0.175</x:v>
      </x:c>
      <x:c r="D18" s="191" t="n">
        <x:f>'Assumptions'!D$11</x:f>
        <x:v>-0.17</x:v>
      </x:c>
      <x:c r="E18" s="191" t="n">
        <x:f>'Assumptions'!E$11</x:f>
        <x:v>-0.165</x:v>
      </x:c>
      <x:c r="F18" s="191" t="n">
        <x:f>'Assumptions'!F$11</x:f>
        <x:v>-0.16</x:v>
      </x:c>
      <x:c r="G18" s="191" t="n">
        <x:f>'Assumptions'!G$11</x:f>
        <x:v>-0.15</x:v>
      </x:c>
      <x:c r="H18" s="191" t="n">
        <x:f>'Assumptions'!H$11</x:f>
        <x:v>-0.14</x:v>
      </x:c>
      <x:c r="I18" s="191" t="n">
        <x:f>'Assumptions'!I$11</x:f>
        <x:v>-0.13</x:v>
      </x:c>
      <x:c r="J18" s="191" t="n">
        <x:f>'Assumptions'!J$11</x:f>
        <x:v>-0.125</x:v>
      </x:c>
      <x:c r="K18" s="191" t="n">
        <x:f>'Assumptions'!K$11</x:f>
        <x:v>-0.12</x:v>
      </x:c>
    </x:row>
    <x:row r="19">
      <x:c r="A19" s="73" t="str">
        <x:v>Operating NWC</x:v>
      </x:c>
      <x:c r="B19" s="192" t="n">
        <x:f>B7*B18</x:f>
        <x:v>-777.58787862</x:v>
      </x:c>
      <x:c r="C19" s="192" t="n">
        <x:f>C7*C18</x:f>
        <x:v>-929.86550484975</x:v>
      </x:c>
      <x:c r="D19" s="192" t="n">
        <x:f>D7*D18</x:f>
        <x:v>-1083.95750279628</x:v>
      </x:c>
      <x:c r="E19" s="192" t="n">
        <x:f>E7*E18</x:f>
        <x:v>-1230.9293877342461</x:v>
      </x:c>
      <x:c r="F19" s="192" t="n">
        <x:f>F7*F18</x:f>
        <x:v>-1360.736486804403</x:v>
      </x:c>
      <x:c r="G19" s="192" t="n">
        <x:f>G7*G18</x:f>
        <x:v>-1428.7733111446232</x:v>
      </x:c>
      <x:c r="H19" s="192" t="n">
        <x:f>H7*H18</x:f>
        <x:v>-1466.8739327751468</x:v>
      </x:c>
      <x:c r="I19" s="192" t="n">
        <x:f>I7*I18</x:f>
        <x:v>-1471.0650011545044</x:v>
      </x:c>
      <x:c r="J19" s="192" t="n">
        <x:f>J7*J18</x:f>
        <x:v>-1506.4271406053338</x:v>
      </x:c>
      <x:c r="K19" s="192" t="n">
        <x:f>K7*K18</x:f>
        <x:v>-1518.4785577301764</x:v>
      </x:c>
    </x:row>
    <x:row r="20">
      <x:c r="A20" s="73" t="str">
        <x:v>Change in Operating NWC</x:v>
      </x:c>
      <x:c r="B20" s="192" t="n">
        <x:f>B19-'Assumptions'!$H$43</x:f>
        <x:v>-132.99987862</x:v>
      </x:c>
      <x:c r="C20" s="192" t="n">
        <x:f>C19-B19</x:f>
        <x:v>-152.27762622975</x:v>
      </x:c>
      <x:c r="D20" s="192" t="n">
        <x:f>D19-C19</x:f>
        <x:v>-154.0919979465301</x:v>
      </x:c>
      <x:c r="E20" s="192" t="n">
        <x:f>E19-D19</x:f>
        <x:v>-146.97188493796602</x:v>
      </x:c>
      <x:c r="F20" s="192" t="n">
        <x:f>F19-E19</x:f>
        <x:v>-129.80709907015694</x:v>
      </x:c>
      <x:c r="G20" s="192" t="n">
        <x:f>G19-F19</x:f>
        <x:v>-68.03682434022016</x:v>
      </x:c>
      <x:c r="H20" s="192" t="n">
        <x:f>H19-G19</x:f>
        <x:v>-38.10062163052362</x:v>
      </x:c>
      <x:c r="I20" s="192" t="n">
        <x:f>I19-H19</x:f>
        <x:v>-4.191068379357603</x:v>
      </x:c>
      <x:c r="J20" s="192" t="n">
        <x:f>J19-I19</x:f>
        <x:v>-35.36213945082932</x:v>
      </x:c>
      <x:c r="K20" s="192" t="n">
        <x:f>K19-J19</x:f>
        <x:v>-12.051417124842601</x:v>
      </x:c>
    </x:row>
    <x:row r="21">
      <x:c r="A21" s="73"/>
      <x:c r="B21" s="192"/>
      <x:c r="C21" s="192"/>
      <x:c r="D21" s="192"/>
      <x:c r="E21" s="192"/>
      <x:c r="F21" s="192"/>
      <x:c r="G21" s="192"/>
      <x:c r="H21" s="192"/>
      <x:c r="I21" s="192"/>
      <x:c r="J21" s="192"/>
      <x:c r="K21" s="192"/>
    </x:row>
    <x:row r="22">
      <x:c r="A22" s="176" t="str">
        <x:v>Unlevered FCFF</x:v>
      </x:c>
      <x:c r="B22" s="193" t="n">
        <x:f>B12+B15-B17-B20</x:f>
        <x:v>81.160686712</x:v>
      </x:c>
      <x:c r="C22" s="193" t="n">
        <x:f>C12+C15-C17-C20</x:f>
        <x:v>290.42907266457007</x:v>
      </x:c>
      <x:c r="D22" s="193" t="n">
        <x:f>D12+D15-D17-D20</x:f>
        <x:v>536.6652342275702</x:v>
      </x:c>
      <x:c r="E22" s="193" t="n">
        <x:f>E12+E15-E17-E20</x:f>
        <x:v>837.0383598798919</x:v>
      </x:c>
      <x:c r="F22" s="193" t="n">
        <x:f>F12+F15-F17-F20</x:f>
        <x:v>1150.3594641734594</x:v>
      </x:c>
      <x:c r="G22" s="193" t="n">
        <x:f>G12+G15-G17-G20</x:f>
        <x:v>1411.0837368161663</x:v>
      </x:c>
      <x:c r="H22" s="193" t="n">
        <x:f>H12+H15-H17-H20</x:f>
        <x:v>1643.27981092447</x:v>
      </x:c>
      <x:c r="I22" s="193" t="n">
        <x:f>I12+I15-I17-I20</x:f>
        <x:v>1893.9438006316825</x:v>
      </x:c>
      <x:c r="J22" s="193" t="n">
        <x:f>J12+J15-J17-J20</x:f>
        <x:v>2228.7200561721957</x:v>
      </x:c>
      <x:c r="K22" s="193" t="n">
        <x:f>K12+K15-K17-K20</x:f>
        <x:v>2504.8870493985487</x:v>
      </x:c>
    </x:row>
    <x:row r="23">
      <x:c r="A23" s="73" t="str">
        <x:v>Discount Factor</x:v>
      </x:c>
      <x:c r="B23" s="194" t="n">
        <x:f>1/(1+$B$29)^0.5</x:f>
        <x:v>0.9543405526122113</x:v>
      </x:c>
      <x:c r="C23" s="194" t="n">
        <x:f>1/(1+$B$29)^1.5</x:f>
        <x:v>0.8691808231066873</x:v>
      </x:c>
      <x:c r="D23" s="194" t="n">
        <x:f>1/(1+$B$29)^2.5</x:f>
        <x:v>0.7916202462407568</x:v>
      </x:c>
      <x:c r="E23" s="194" t="n">
        <x:f>1/(1+$B$29)^3.5</x:f>
        <x:v>0.7209807183946082</x:v>
      </x:c>
      <x:c r="F23" s="194" t="n">
        <x:f>1/(1+$B$29)^4.5</x:f>
        <x:v>0.656644645921188</x:v>
      </x:c>
      <x:c r="G23" s="194" t="n">
        <x:f>1/(1+$B$29)^5.5</x:f>
        <x:v>0.5980495455926562</x:v>
      </x:c>
      <x:c r="H23" s="194" t="n">
        <x:f>1/(1+$B$29)^6.5</x:f>
        <x:v>0.544683126871197</x:v>
      </x:c>
      <x:c r="I23" s="194" t="n">
        <x:f>1/(1+$B$29)^7.5</x:f>
        <x:v>0.496078813009013</x:v>
      </x:c>
      <x:c r="J23" s="194" t="n">
        <x:f>1/(1+$B$29)^8.5</x:f>
        <x:v>0.45181166181897525</x:v>
      </x:c>
      <x:c r="K23" s="194" t="n">
        <x:f>1/(1+$B$29)^9.5</x:f>
        <x:v>0.4114946504516718</x:v>
      </x:c>
    </x:row>
    <x:row r="24">
      <x:c r="A24" s="73" t="str">
        <x:v>PV of FCFF</x:v>
      </x:c>
      <x:c r="B24" s="192" t="n">
        <x:f>B22*B23</x:f>
        <x:v>77.45493460711664</x:v>
      </x:c>
      <x:c r="C24" s="192" t="n">
        <x:f>C22*C23</x:f>
        <x:v>252.4353804327029</x:v>
      </x:c>
      <x:c r="D24" s="192" t="n">
        <x:f>D22*D23</x:f>
        <x:v>424.8350648680825</x:v>
      </x:c>
      <x:c r="E24" s="192" t="n">
        <x:f>E22*E23</x:f>
        <x:v>603.488518030049</x:v>
      </x:c>
      <x:c r="F24" s="192" t="n">
        <x:f>F22*F23</x:f>
        <x:v>755.3773830342687</x:v>
      </x:c>
      <x:c r="G24" s="192" t="n">
        <x:f>G22*G23</x:f>
        <x:v>843.8979875960955</x:v>
      </x:c>
      <x:c r="H24" s="192" t="n">
        <x:f>H22*H23</x:f>
        <x:v>895.0667857386497</x:v>
      </x:c>
      <x:c r="I24" s="192" t="n">
        <x:f>I22*I23</x:f>
        <x:v>939.5453925231438</x:v>
      </x:c>
      <x:c r="J24" s="192" t="n">
        <x:f>J22*J23</x:f>
        <x:v>1006.9617123084396</x:v>
      </x:c>
      <x:c r="K24" s="192" t="n">
        <x:f>K22*K23</x:f>
        <x:v>1030.7476208131752</x:v>
      </x:c>
    </x:row>
    <x:row r="25">
      <x:c r="A25" s="73" t="str">
        <x:v>EBITDA (GAAP EBIT + D&amp;A)</x:v>
      </x:c>
      <x:c r="B25" s="192" t="n">
        <x:f>B9+B15</x:f>
        <x:v>142.557777747</x:v>
      </x:c>
      <x:c r="C25" s="192" t="n">
        <x:f>C9+C15</x:f>
        <x:v>366.63268476933007</x:v>
      </x:c>
      <x:c r="D25" s="192" t="n">
        <x:f>D9+D15</x:f>
        <x:v>701.38426651524</x:v>
      </x:c>
      <x:c r="E25" s="192" t="n">
        <x:f>E9+E15</x:f>
        <x:v>1126.4868942295222</x:v>
      </x:c>
      <x:c r="F25" s="192" t="n">
        <x:f>F9+F15</x:f>
        <x:v>1632.8837841652835</x:v>
      </x:c>
      <x:c r="G25" s="192" t="n">
        <x:f>G9+G15</x:f>
        <x:v>2114.584500494043</x:v>
      </x:c>
      <x:c r="H25" s="192" t="n">
        <x:f>H9+H15</x:f>
        <x:v>2535.596369511325</x:v>
      </x:c>
      <x:c r="I25" s="192" t="n">
        <x:f>I9+I15</x:f>
        <x:v>2964.7617715575393</x:v>
      </x:c>
      <x:c r="J25" s="192" t="n">
        <x:f>J9+J15</x:f>
        <x:v>3398.499629205633</x:v>
      </x:c>
      <x:c r="K25" s="192" t="n">
        <x:f>K9+K15</x:f>
        <x:v>3821.504370287611</x:v>
      </x:c>
    </x:row>
    <x:row r="26">
      <x:c r="A26" s="73"/>
      <x:c r="B26" s="73"/>
      <x:c r="C26" s="73"/>
      <x:c r="D26" s="73"/>
      <x:c r="E26" s="73"/>
      <x:c r="F26" s="73"/>
      <x:c r="G26" s="73"/>
      <x:c r="H26" s="73"/>
      <x:c r="I26" s="73"/>
      <x:c r="J26" s="73"/>
      <x:c r="K26" s="73"/>
    </x:row>
    <x:row r="27">
      <x:c r="A27" s="73" t="str">
        <x:v>PV of Explicit FCFF</x:v>
      </x:c>
      <x:c r="B27" s="192" t="n">
        <x:f>SUM(B24:K24)</x:f>
        <x:v>6829.810779951724</x:v>
      </x:c>
      <x:c r="C27" s="73"/>
      <x:c r="D27" s="73"/>
      <x:c r="E27" s="73"/>
      <x:c r="F27" s="73"/>
      <x:c r="G27" s="73"/>
      <x:c r="H27" s="73"/>
      <x:c r="I27" s="73"/>
      <x:c r="J27" s="73"/>
      <x:c r="K27" s="73"/>
    </x:row>
    <x:row r="28">
      <x:c r="A28" s="73" t="str">
        <x:v>Terminal Growth</x:v>
      </x:c>
      <x:c r="B28" s="192" t="n">
        <x:f>'Assumptions'!$B$13</x:f>
        <x:v>0.0325</x:v>
      </x:c>
      <x:c r="C28" s="73"/>
      <x:c r="D28" s="73"/>
      <x:c r="E28" s="73"/>
      <x:c r="F28" s="73"/>
      <x:c r="G28" s="73"/>
      <x:c r="H28" s="73"/>
      <x:c r="I28" s="73"/>
      <x:c r="J28" s="73"/>
      <x:c r="K28" s="73"/>
    </x:row>
    <x:row r="29">
      <x:c r="A29" s="73" t="str">
        <x:v>WACC</x:v>
      </x:c>
      <x:c r="B29" s="192" t="n">
        <x:f>'Assumptions'!$B$47+'Assumptions'!$B$12</x:f>
        <x:v>0.097977</x:v>
      </x:c>
      <x:c r="C29" s="73"/>
      <x:c r="D29" s="73"/>
      <x:c r="E29" s="73"/>
      <x:c r="F29" s="73"/>
      <x:c r="G29" s="73"/>
      <x:c r="H29" s="73"/>
      <x:c r="I29" s="73"/>
      <x:c r="J29" s="73"/>
      <x:c r="K29" s="73"/>
    </x:row>
    <x:row r="30">
      <x:c r="A30" s="73" t="str">
        <x:v>Terminal FCFF</x:v>
      </x:c>
      <x:c r="B30" s="192" t="n">
        <x:f>K22*(1+B28)</x:f>
        <x:v>2586.2958785040014</x:v>
      </x:c>
      <x:c r="C30" s="73"/>
      <x:c r="D30" s="73"/>
      <x:c r="E30" s="73"/>
      <x:c r="F30" s="73"/>
      <x:c r="G30" s="73"/>
      <x:c r="H30" s="73"/>
      <x:c r="I30" s="73"/>
      <x:c r="J30" s="73"/>
      <x:c r="K30" s="73"/>
    </x:row>
    <x:row r="31">
      <x:c r="A31" s="73" t="str">
        <x:v>Terminal Value</x:v>
      </x:c>
      <x:c r="B31" s="192" t="n">
        <x:f>B30/(B29-B28)</x:f>
        <x:v>39499.303243948285</x:v>
      </x:c>
      <x:c r="C31" s="73"/>
      <x:c r="D31" s="73"/>
      <x:c r="E31" s="73"/>
      <x:c r="F31" s="73"/>
      <x:c r="G31" s="73"/>
      <x:c r="H31" s="73"/>
      <x:c r="I31" s="73"/>
      <x:c r="J31" s="73"/>
      <x:c r="K31" s="73"/>
    </x:row>
    <x:row r="32">
      <x:c r="A32" s="73" t="str">
        <x:v>PV of Terminal Value</x:v>
      </x:c>
      <x:c r="B32" s="192" t="n">
        <x:f>B31/(1+B29)^10</x:f>
        <x:v>15511.614648001761</x:v>
      </x:c>
      <x:c r="C32" s="73"/>
      <x:c r="D32" s="73"/>
      <x:c r="E32" s="73"/>
      <x:c r="F32" s="73"/>
      <x:c r="G32" s="73"/>
      <x:c r="H32" s="73"/>
      <x:c r="I32" s="73"/>
      <x:c r="J32" s="73"/>
      <x:c r="K32" s="73"/>
    </x:row>
    <x:row r="33">
      <x:c r="A33" s="195" t="str">
        <x:v>Enterprise Value</x:v>
      </x:c>
      <x:c r="B33" s="196" t="n">
        <x:f>B27+B32</x:f>
        <x:v>22341.425427953487</x:v>
      </x:c>
      <x:c r="C33" s="73"/>
      <x:c r="D33" s="73"/>
      <x:c r="E33" s="73"/>
      <x:c r="F33" s="73"/>
      <x:c r="G33" s="73"/>
      <x:c r="H33" s="73"/>
      <x:c r="I33" s="73"/>
      <x:c r="J33" s="73"/>
      <x:c r="K33" s="73"/>
    </x:row>
    <x:row r="34">
      <x:c r="A34" s="197" t="str">
        <x:v>Net Cash</x:v>
      </x:c>
      <x:c r="B34" s="198" t="n">
        <x:f>'Assumptions'!$E$43</x:f>
        <x:v>3473.565</x:v>
      </x:c>
      <x:c r="C34" s="73"/>
      <x:c r="D34" s="73"/>
      <x:c r="E34" s="73"/>
      <x:c r="F34" s="73"/>
      <x:c r="G34" s="73"/>
      <x:c r="H34" s="73"/>
      <x:c r="I34" s="73"/>
      <x:c r="J34" s="73"/>
      <x:c r="K34" s="73"/>
    </x:row>
    <x:row r="35">
      <x:c r="A35" s="199" t="str">
        <x:v>Equity Value</x:v>
      </x:c>
      <x:c r="B35" s="200" t="n">
        <x:f>B33+B34</x:f>
        <x:v>25814.990427953486</x:v>
      </x:c>
      <x:c r="C35" s="73"/>
      <x:c r="D35" s="73"/>
      <x:c r="E35" s="73"/>
      <x:c r="F35" s="73"/>
      <x:c r="G35" s="73"/>
      <x:c r="H35" s="73"/>
      <x:c r="I35" s="73"/>
      <x:c r="J35" s="73"/>
      <x:c r="K35" s="73"/>
    </x:row>
    <x:row r="36">
      <x:c r="A36" s="201" t="str">
        <x:v>Value / Share</x:v>
      </x:c>
      <x:c r="B36" s="202" t="n">
        <x:f>B35/'Assumptions'!$E$42</x:f>
        <x:v>70.2639913662316</x:v>
      </x:c>
      <x:c r="C36" s="73"/>
      <x:c r="D36" s="73"/>
      <x:c r="E36" s="73"/>
      <x:c r="F36" s="73"/>
      <x:c r="G36" s="73"/>
      <x:c r="H36" s="73"/>
      <x:c r="I36" s="73"/>
      <x:c r="J36" s="73"/>
      <x:c r="K36" s="73"/>
    </x:row>
    <x:row r="37">
      <x:c r="A37" s="73" t="str">
        <x:v>Current Price</x:v>
      </x:c>
      <x:c r="B37" s="203" t="n">
        <x:f>'Assumptions'!$B$49</x:f>
        <x:v>288.15</x:v>
      </x:c>
      <x:c r="C37" s="73"/>
      <x:c r="D37" s="73"/>
      <x:c r="E37" s="73"/>
      <x:c r="F37" s="73"/>
      <x:c r="G37" s="73"/>
      <x:c r="H37" s="73"/>
      <x:c r="I37" s="73"/>
      <x:c r="J37" s="73"/>
      <x:c r="K37" s="73"/>
    </x:row>
    <x:row r="38">
      <x:c r="A38" s="73" t="str">
        <x:v>Upside / (Downside)</x:v>
      </x:c>
      <x:c r="B38" s="204" t="n">
        <x:f>B36/B37-1</x:f>
        <x:v>-0.7561548104590262</x:v>
      </x:c>
      <x:c r="C38" s="73"/>
      <x:c r="D38" s="73"/>
      <x:c r="E38" s="73"/>
      <x:c r="F38" s="73"/>
      <x:c r="G38" s="73"/>
      <x:c r="H38" s="73"/>
      <x:c r="I38" s="73"/>
      <x:c r="J38" s="73"/>
      <x:c r="K38" s="73"/>
    </x:row>
    <x:row r="39">
      <x:c r="A39" s="73" t="str">
        <x:v>Terminal Value / EV</x:v>
      </x:c>
      <x:c r="B39" s="204" t="n">
        <x:f>B32/B33</x:f>
        <x:v>0.6942983426918544</x:v>
      </x:c>
      <x:c r="C39" s="73"/>
      <x:c r="D39" s="73"/>
      <x:c r="E39" s="73"/>
      <x:c r="F39" s="73"/>
      <x:c r="G39" s="73"/>
      <x:c r="H39" s="73"/>
      <x:c r="I39" s="73"/>
      <x:c r="J39" s="73"/>
      <x:c r="K39" s="73"/>
    </x:row>
    <x:row r="40">
      <x:c r="A40" s="73" t="str">
        <x:v>Implied Terminal EV/EBITDA</x:v>
      </x:c>
      <x:c r="B40" s="205" t="n">
        <x:f>B31/K25</x:f>
        <x:v>10.336061251442588</x:v>
      </x:c>
      <x:c r="C40" s="73"/>
      <x:c r="D40" s="73"/>
      <x:c r="E40" s="73"/>
      <x:c r="F40" s="73"/>
      <x:c r="G40" s="73"/>
      <x:c r="H40" s="73"/>
      <x:c r="I40" s="73"/>
      <x:c r="J40" s="73"/>
      <x:c r="K40" s="73"/>
    </x:row>
    <x:row r="41">
      <x:c r="A41" s="73"/>
      <x:c r="B41" s="73"/>
      <x:c r="C41" s="73"/>
      <x:c r="D41" s="73"/>
      <x:c r="E41" s="73"/>
      <x:c r="F41" s="73"/>
      <x:c r="G41" s="73"/>
      <x:c r="H41" s="73"/>
      <x:c r="I41" s="73"/>
      <x:c r="J41" s="73"/>
      <x:c r="K41" s="73"/>
    </x:row>
    <x:row r="42">
      <x:c r="A42" s="73"/>
      <x:c r="B42" s="73"/>
      <x:c r="C42" s="73"/>
      <x:c r="D42" s="73"/>
      <x:c r="E42" s="73"/>
      <x:c r="F42" s="73"/>
      <x:c r="G42" s="73"/>
      <x:c r="H42" s="73"/>
      <x:c r="I42" s="73"/>
      <x:c r="J42" s="73"/>
      <x:c r="K42" s="73"/>
    </x:row>
    <x:row r="43">
      <x:c r="A43" s="73"/>
      <x:c r="B43" s="73"/>
      <x:c r="C43" s="73"/>
      <x:c r="D43" s="73"/>
      <x:c r="E43" s="73"/>
      <x:c r="F43" s="73"/>
      <x:c r="G43" s="73"/>
      <x:c r="H43" s="73"/>
      <x:c r="I43" s="73"/>
      <x:c r="J43" s="73"/>
      <x:c r="K43" s="73"/>
    </x:row>
    <x:row r="44" ht="22" customHeight="1">
      <x:c r="A44" s="74" t="str">
        <x:v>Downside Case</x:v>
      </x:c>
      <x:c r="B44" s="74"/>
      <x:c r="C44" s="74"/>
      <x:c r="D44" s="74"/>
      <x:c r="E44" s="74"/>
      <x:c r="F44" s="74"/>
      <x:c r="G44" s="74"/>
      <x:c r="H44" s="74"/>
      <x:c r="I44" s="74"/>
      <x:c r="J44" s="74"/>
      <x:c r="K44" s="74"/>
    </x:row>
    <x:row r="45">
      <x:c r="A45" s="159" t="str">
        <x:v>Fiscal Year</x:v>
      </x:c>
      <x:c r="B45" s="160" t="n">
        <x:v>2026</x:v>
      </x:c>
      <x:c r="C45" s="160" t="n">
        <x:v>2027</x:v>
      </x:c>
      <x:c r="D45" s="160" t="n">
        <x:v>2028</x:v>
      </x:c>
      <x:c r="E45" s="160" t="n">
        <x:v>2029</x:v>
      </x:c>
      <x:c r="F45" s="160" t="n">
        <x:v>2030</x:v>
      </x:c>
      <x:c r="G45" s="160" t="n">
        <x:v>2031</x:v>
      </x:c>
      <x:c r="H45" s="160" t="n">
        <x:v>2032</x:v>
      </x:c>
      <x:c r="I45" s="160" t="n">
        <x:v>2033</x:v>
      </x:c>
      <x:c r="J45" s="160" t="n">
        <x:v>2034</x:v>
      </x:c>
      <x:c r="K45" s="161" t="n">
        <x:v>2035</x:v>
      </x:c>
    </x:row>
    <x:row r="46">
      <x:c r="A46" s="73" t="str">
        <x:v>Revenue Growth</x:v>
      </x:c>
      <x:c r="B46" s="191" t="n">
        <x:f>'Assumptions'!B$17</x:f>
        <x:v>0.23</x:v>
      </x:c>
      <x:c r="C46" s="191" t="n">
        <x:f>'Assumptions'!C$17</x:f>
        <x:v>0.18</x:v>
      </x:c>
      <x:c r="D46" s="191" t="n">
        <x:f>'Assumptions'!D$17</x:f>
        <x:v>0.15</x:v>
      </x:c>
      <x:c r="E46" s="191" t="n">
        <x:f>'Assumptions'!E$17</x:f>
        <x:v>0.12</x:v>
      </x:c>
      <x:c r="F46" s="191" t="n">
        <x:f>'Assumptions'!F$17</x:f>
        <x:v>0.1</x:v>
      </x:c>
      <x:c r="G46" s="191" t="n">
        <x:f>'Assumptions'!G$17</x:f>
        <x:v>0.08</x:v>
      </x:c>
      <x:c r="H46" s="191" t="n">
        <x:f>'Assumptions'!H$17</x:f>
        <x:v>0.06</x:v>
      </x:c>
      <x:c r="I46" s="191" t="n">
        <x:f>'Assumptions'!I$17</x:f>
        <x:v>0.05</x:v>
      </x:c>
      <x:c r="J46" s="191" t="n">
        <x:f>'Assumptions'!J$17</x:f>
        <x:v>0.04</x:v>
      </x:c>
      <x:c r="K46" s="191" t="n">
        <x:f>'Assumptions'!K$17</x:f>
        <x:v>0.03</x:v>
      </x:c>
    </x:row>
    <x:row r="47">
      <x:c r="A47" s="73" t="str">
        <x:v>Revenue</x:v>
      </x:c>
      <x:c r="B47" s="192" t="n">
        <x:f>'Assumptions'!$H$39*(1+B46)</x:f>
        <x:v>4215.40434</x:v>
      </x:c>
      <x:c r="C47" s="192" t="n">
        <x:f>B47*(1+C46)</x:f>
        <x:v>4974.177121199999</x:v>
      </x:c>
      <x:c r="D47" s="192" t="n">
        <x:f>C47*(1+D46)</x:f>
        <x:v>5720.303689379999</x:v>
      </x:c>
      <x:c r="E47" s="192" t="n">
        <x:f>D47*(1+E46)</x:f>
        <x:v>6406.7401321055995</x:v>
      </x:c>
      <x:c r="F47" s="192" t="n">
        <x:f>E47*(1+F46)</x:f>
        <x:v>7047.41414531616</x:v>
      </x:c>
      <x:c r="G47" s="192" t="n">
        <x:f>F47*(1+G46)</x:f>
        <x:v>7611.2072769414535</x:v>
      </x:c>
      <x:c r="H47" s="192" t="n">
        <x:f>G47*(1+H46)</x:f>
        <x:v>8067.879713557941</x:v>
      </x:c>
      <x:c r="I47" s="192" t="n">
        <x:f>H47*(1+I46)</x:f>
        <x:v>8471.273699235839</x:v>
      </x:c>
      <x:c r="J47" s="192" t="n">
        <x:f>I47*(1+J46)</x:f>
        <x:v>8810.124647205272</x:v>
      </x:c>
      <x:c r="K47" s="192" t="n">
        <x:f>J47*(1+K46)</x:f>
        <x:v>9074.42838662143</x:v>
      </x:c>
    </x:row>
    <x:row r="48">
      <x:c r="A48" s="73" t="str">
        <x:v>GAAP EBIT Margin</x:v>
      </x:c>
      <x:c r="B48" s="191" t="n">
        <x:f>'Assumptions'!B$18</x:f>
        <x:v>0</x:v>
      </x:c>
      <x:c r="C48" s="191" t="n">
        <x:f>'Assumptions'!C$18</x:f>
        <x:v>0.02</x:v>
      </x:c>
      <x:c r="D48" s="191" t="n">
        <x:f>'Assumptions'!D$18</x:f>
        <x:v>0.04</x:v>
      </x:c>
      <x:c r="E48" s="191" t="n">
        <x:f>'Assumptions'!E$18</x:f>
        <x:v>0.07</x:v>
      </x:c>
      <x:c r="F48" s="191" t="n">
        <x:f>'Assumptions'!F$18</x:f>
        <x:v>0.1</x:v>
      </x:c>
      <x:c r="G48" s="191" t="n">
        <x:f>'Assumptions'!G$18</x:f>
        <x:v>0.13</x:v>
      </x:c>
      <x:c r="H48" s="191" t="n">
        <x:f>'Assumptions'!H$18</x:f>
        <x:v>0.15</x:v>
      </x:c>
      <x:c r="I48" s="191" t="n">
        <x:f>'Assumptions'!I$18</x:f>
        <x:v>0.17</x:v>
      </x:c>
      <x:c r="J48" s="191" t="n">
        <x:f>'Assumptions'!J$18</x:f>
        <x:v>0.19</x:v>
      </x:c>
      <x:c r="K48" s="191" t="n">
        <x:f>'Assumptions'!K$18</x:f>
        <x:v>0.21</x:v>
      </x:c>
    </x:row>
    <x:row r="49">
      <x:c r="A49" s="73" t="str">
        <x:v>GAAP EBIT</x:v>
      </x:c>
      <x:c r="B49" s="192" t="n">
        <x:f>B47*B48</x:f>
        <x:v>0</x:v>
      </x:c>
      <x:c r="C49" s="192" t="n">
        <x:f>C47*C48</x:f>
        <x:v>99.48354242399999</x:v>
      </x:c>
      <x:c r="D49" s="192" t="n">
        <x:f>D47*D48</x:f>
        <x:v>228.81214757519996</x:v>
      </x:c>
      <x:c r="E49" s="192" t="n">
        <x:f>E47*E48</x:f>
        <x:v>448.471809247392</x:v>
      </x:c>
      <x:c r="F49" s="192" t="n">
        <x:f>F47*F48</x:f>
        <x:v>704.7414145316161</x:v>
      </x:c>
      <x:c r="G49" s="192" t="n">
        <x:f>G47*G48</x:f>
        <x:v>989.456946002389</x:v>
      </x:c>
      <x:c r="H49" s="192" t="n">
        <x:f>H47*H48</x:f>
        <x:v>1210.181957033691</x:v>
      </x:c>
      <x:c r="I49" s="192" t="n">
        <x:f>I47*I48</x:f>
        <x:v>1440.1165288700927</x:v>
      </x:c>
      <x:c r="J49" s="192" t="n">
        <x:f>J47*J48</x:f>
        <x:v>1673.9236829690017</x:v>
      </x:c>
      <x:c r="K49" s="192" t="n">
        <x:f>K47*K48</x:f>
        <x:v>1905.6299611905001</x:v>
      </x:c>
    </x:row>
    <x:row r="50">
      <x:c r="A50" s="73" t="str">
        <x:v>Cash Tax Rate</x:v>
      </x:c>
      <x:c r="B50" s="191" t="n">
        <x:f>'Assumptions'!B$19</x:f>
        <x:v>0</x:v>
      </x:c>
      <x:c r="C50" s="191" t="n">
        <x:f>'Assumptions'!C$19</x:f>
        <x:v>0</x:v>
      </x:c>
      <x:c r="D50" s="191" t="n">
        <x:f>'Assumptions'!D$19</x:f>
        <x:v>0</x:v>
      </x:c>
      <x:c r="E50" s="191" t="n">
        <x:f>'Assumptions'!E$19</x:f>
        <x:v>0.1</x:v>
      </x:c>
      <x:c r="F50" s="191" t="n">
        <x:f>'Assumptions'!F$19</x:f>
        <x:v>0.15</x:v>
      </x:c>
      <x:c r="G50" s="191" t="n">
        <x:f>'Assumptions'!G$19</x:f>
        <x:v>0.2</x:v>
      </x:c>
      <x:c r="H50" s="191" t="n">
        <x:f>'Assumptions'!H$19</x:f>
        <x:v>0.22</x:v>
      </x:c>
      <x:c r="I50" s="191" t="n">
        <x:f>'Assumptions'!I$19</x:f>
        <x:v>0.24</x:v>
      </x:c>
      <x:c r="J50" s="191" t="n">
        <x:f>'Assumptions'!J$19</x:f>
        <x:v>0.25</x:v>
      </x:c>
      <x:c r="K50" s="191" t="n">
        <x:f>'Assumptions'!K$19</x:f>
        <x:v>0.25</x:v>
      </x:c>
    </x:row>
    <x:row r="51">
      <x:c r="A51" s="73" t="str">
        <x:v>Cash Taxes</x:v>
      </x:c>
      <x:c r="B51" s="192" t="n">
        <x:f>MAX(B49*B50,0)</x:f>
        <x:v>0</x:v>
      </x:c>
      <x:c r="C51" s="192" t="n">
        <x:f>MAX(C49*C50,0)</x:f>
        <x:v>0</x:v>
      </x:c>
      <x:c r="D51" s="192" t="n">
        <x:f>MAX(D49*D50,0)</x:f>
        <x:v>0</x:v>
      </x:c>
      <x:c r="E51" s="192" t="n">
        <x:f>MAX(E49*E50,0)</x:f>
        <x:v>44.847180924739206</x:v>
      </x:c>
      <x:c r="F51" s="192" t="n">
        <x:f>MAX(F49*F50,0)</x:f>
        <x:v>105.71121217974242</x:v>
      </x:c>
      <x:c r="G51" s="192" t="n">
        <x:f>MAX(G49*G50,0)</x:f>
        <x:v>197.89138920047782</x:v>
      </x:c>
      <x:c r="H51" s="192" t="n">
        <x:f>MAX(H49*H50,0)</x:f>
        <x:v>266.24003054741206</x:v>
      </x:c>
      <x:c r="I51" s="192" t="n">
        <x:f>MAX(I49*I50,0)</x:f>
        <x:v>345.6279669288222</x:v>
      </x:c>
      <x:c r="J51" s="192" t="n">
        <x:f>MAX(J49*J50,0)</x:f>
        <x:v>418.4809207422504</x:v>
      </x:c>
      <x:c r="K51" s="192" t="n">
        <x:f>MAX(K49*K50,0)</x:f>
        <x:v>476.40749029762503</x:v>
      </x:c>
    </x:row>
    <x:row r="52">
      <x:c r="A52" s="73" t="str">
        <x:v>NOPAT</x:v>
      </x:c>
      <x:c r="B52" s="192" t="n">
        <x:f>B49-B51</x:f>
        <x:v>0</x:v>
      </x:c>
      <x:c r="C52" s="192" t="n">
        <x:f>C49-C51</x:f>
        <x:v>99.48354242399999</x:v>
      </x:c>
      <x:c r="D52" s="192" t="n">
        <x:f>D49-D51</x:f>
        <x:v>228.81214757519996</x:v>
      </x:c>
      <x:c r="E52" s="192" t="n">
        <x:f>E49-E51</x:f>
        <x:v>403.6246283226528</x:v>
      </x:c>
      <x:c r="F52" s="192" t="n">
        <x:f>F49-F51</x:f>
        <x:v>599.0302023518736</x:v>
      </x:c>
      <x:c r="G52" s="192" t="n">
        <x:f>G49-G51</x:f>
        <x:v>791.5655568019113</x:v>
      </x:c>
      <x:c r="H52" s="192" t="n">
        <x:f>H49-H51</x:f>
        <x:v>943.941926486279</x:v>
      </x:c>
      <x:c r="I52" s="192" t="n">
        <x:f>I49-I51</x:f>
        <x:v>1094.4885619412705</x:v>
      </x:c>
      <x:c r="J52" s="192" t="n">
        <x:f>J49-J51</x:f>
        <x:v>1255.4427622267513</x:v>
      </x:c>
      <x:c r="K52" s="192" t="n">
        <x:f>K49-K51</x:f>
        <x:v>1429.2224708928752</x:v>
      </x:c>
    </x:row>
    <x:row r="53">
      <x:c r="A53" s="73"/>
      <x:c r="B53" s="73"/>
      <x:c r="C53" s="73"/>
      <x:c r="D53" s="73"/>
      <x:c r="E53" s="73"/>
      <x:c r="F53" s="73"/>
      <x:c r="G53" s="73"/>
      <x:c r="H53" s="73"/>
      <x:c r="I53" s="73"/>
      <x:c r="J53" s="73"/>
      <x:c r="K53" s="73"/>
    </x:row>
    <x:row r="54">
      <x:c r="A54" s="73" t="str">
        <x:v>D&amp;A / Revenue</x:v>
      </x:c>
      <x:c r="B54" s="191" t="n">
        <x:f>'Assumptions'!B$20</x:f>
        <x:v>0.018</x:v>
      </x:c>
      <x:c r="C54" s="191" t="n">
        <x:f>'Assumptions'!C$20</x:f>
        <x:v>0.019</x:v>
      </x:c>
      <x:c r="D54" s="191" t="n">
        <x:f>'Assumptions'!D$20</x:f>
        <x:v>0.02</x:v>
      </x:c>
      <x:c r="E54" s="191" t="n">
        <x:f>'Assumptions'!E$20</x:f>
        <x:v>0.021</x:v>
      </x:c>
      <x:c r="F54" s="191" t="n">
        <x:f>'Assumptions'!F$20</x:f>
        <x:v>0.022</x:v>
      </x:c>
      <x:c r="G54" s="191" t="n">
        <x:f>'Assumptions'!G$20</x:f>
        <x:v>0.022</x:v>
      </x:c>
      <x:c r="H54" s="191" t="n">
        <x:f>'Assumptions'!H$20</x:f>
        <x:v>0.023</x:v>
      </x:c>
      <x:c r="I54" s="191" t="n">
        <x:f>'Assumptions'!I$20</x:f>
        <x:v>0.023</x:v>
      </x:c>
      <x:c r="J54" s="191" t="n">
        <x:f>'Assumptions'!J$20</x:f>
        <x:v>0.023</x:v>
      </x:c>
      <x:c r="K54" s="191" t="n">
        <x:f>'Assumptions'!K$20</x:f>
        <x:v>0.023</x:v>
      </x:c>
    </x:row>
    <x:row r="55">
      <x:c r="A55" s="73" t="str">
        <x:v>D&amp;A</x:v>
      </x:c>
      <x:c r="B55" s="192" t="n">
        <x:f>B47*B54</x:f>
        <x:v>75.87727812</x:v>
      </x:c>
      <x:c r="C55" s="192" t="n">
        <x:f>C47*C54</x:f>
        <x:v>94.50936530279999</x:v>
      </x:c>
      <x:c r="D55" s="192" t="n">
        <x:f>D47*D54</x:f>
        <x:v>114.40607378759998</x:v>
      </x:c>
      <x:c r="E55" s="192" t="n">
        <x:f>E47*E54</x:f>
        <x:v>134.5415427742176</x:v>
      </x:c>
      <x:c r="F55" s="192" t="n">
        <x:f>F47*F54</x:f>
        <x:v>155.04311119695552</x:v>
      </x:c>
      <x:c r="G55" s="192" t="n">
        <x:f>G47*G54</x:f>
        <x:v>167.44656009271196</x:v>
      </x:c>
      <x:c r="H55" s="192" t="n">
        <x:f>H47*H54</x:f>
        <x:v>185.56123341183263</x:v>
      </x:c>
      <x:c r="I55" s="192" t="n">
        <x:f>I47*I54</x:f>
        <x:v>194.8392950824243</x:v>
      </x:c>
      <x:c r="J55" s="192" t="n">
        <x:f>J47*J54</x:f>
        <x:v>202.63286688572126</x:v>
      </x:c>
      <x:c r="K55" s="192" t="n">
        <x:f>K47*K54</x:f>
        <x:v>208.71185289229288</x:v>
      </x:c>
    </x:row>
    <x:row r="56">
      <x:c r="A56" s="73" t="str">
        <x:v>Capex / Revenue</x:v>
      </x:c>
      <x:c r="B56" s="191" t="n">
        <x:f>'Assumptions'!B$21</x:f>
        <x:v>0.05</x:v>
      </x:c>
      <x:c r="C56" s="191" t="n">
        <x:f>'Assumptions'!C$21</x:f>
        <x:v>0.049</x:v>
      </x:c>
      <x:c r="D56" s="191" t="n">
        <x:f>'Assumptions'!D$21</x:f>
        <x:v>0.047</x:v>
      </x:c>
      <x:c r="E56" s="191" t="n">
        <x:f>'Assumptions'!E$21</x:f>
        <x:v>0.045</x:v>
      </x:c>
      <x:c r="F56" s="191" t="n">
        <x:f>'Assumptions'!F$21</x:f>
        <x:v>0.044</x:v>
      </x:c>
      <x:c r="G56" s="191" t="n">
        <x:f>'Assumptions'!G$21</x:f>
        <x:v>0.043</x:v>
      </x:c>
      <x:c r="H56" s="191" t="n">
        <x:f>'Assumptions'!H$21</x:f>
        <x:v>0.042</x:v>
      </x:c>
      <x:c r="I56" s="191" t="n">
        <x:f>'Assumptions'!I$21</x:f>
        <x:v>0.041</x:v>
      </x:c>
      <x:c r="J56" s="191" t="n">
        <x:f>'Assumptions'!J$21</x:f>
        <x:v>0.04</x:v>
      </x:c>
      <x:c r="K56" s="191" t="n">
        <x:f>'Assumptions'!K$21</x:f>
        <x:v>0.04</x:v>
      </x:c>
    </x:row>
    <x:row r="57">
      <x:c r="A57" s="73" t="str">
        <x:v>Capex + Capitalized Software</x:v>
      </x:c>
      <x:c r="B57" s="192" t="n">
        <x:f>B47*B56</x:f>
        <x:v>210.770217</x:v>
      </x:c>
      <x:c r="C57" s="192" t="n">
        <x:f>C47*C56</x:f>
        <x:v>243.7346789388</x:v>
      </x:c>
      <x:c r="D57" s="192" t="n">
        <x:f>D47*D56</x:f>
        <x:v>268.85427340085994</x:v>
      </x:c>
      <x:c r="E57" s="192" t="n">
        <x:f>E47*E56</x:f>
        <x:v>288.30330594475197</x:v>
      </x:c>
      <x:c r="F57" s="192" t="n">
        <x:f>F47*F56</x:f>
        <x:v>310.08622239391104</x:v>
      </x:c>
      <x:c r="G57" s="192" t="n">
        <x:f>G47*G56</x:f>
        <x:v>327.28191290848247</x:v>
      </x:c>
      <x:c r="H57" s="192" t="n">
        <x:f>H47*H56</x:f>
        <x:v>338.85094796943355</x:v>
      </x:c>
      <x:c r="I57" s="192" t="n">
        <x:f>I47*I56</x:f>
        <x:v>347.3222216686694</x:v>
      </x:c>
      <x:c r="J57" s="192" t="n">
        <x:f>J47*J56</x:f>
        <x:v>352.4049858882109</x:v>
      </x:c>
      <x:c r="K57" s="192" t="n">
        <x:f>K47*K56</x:f>
        <x:v>362.9771354648572</x:v>
      </x:c>
    </x:row>
    <x:row r="58">
      <x:c r="A58" s="73" t="str">
        <x:v>Operating NWC / Revenue</x:v>
      </x:c>
      <x:c r="B58" s="191" t="n">
        <x:f>'Assumptions'!B$22</x:f>
        <x:v>-0.18</x:v>
      </x:c>
      <x:c r="C58" s="191" t="n">
        <x:f>'Assumptions'!C$22</x:f>
        <x:v>-0.17</x:v>
      </x:c>
      <x:c r="D58" s="191" t="n">
        <x:f>'Assumptions'!D$22</x:f>
        <x:v>-0.16</x:v>
      </x:c>
      <x:c r="E58" s="191" t="n">
        <x:f>'Assumptions'!E$22</x:f>
        <x:v>-0.15</x:v>
      </x:c>
      <x:c r="F58" s="191" t="n">
        <x:f>'Assumptions'!F$22</x:f>
        <x:v>-0.14</x:v>
      </x:c>
      <x:c r="G58" s="191" t="n">
        <x:f>'Assumptions'!G$22</x:f>
        <x:v>-0.13</x:v>
      </x:c>
      <x:c r="H58" s="191" t="n">
        <x:f>'Assumptions'!H$22</x:f>
        <x:v>-0.12</x:v>
      </x:c>
      <x:c r="I58" s="191" t="n">
        <x:f>'Assumptions'!I$22</x:f>
        <x:v>-0.11</x:v>
      </x:c>
      <x:c r="J58" s="191" t="n">
        <x:f>'Assumptions'!J$22</x:f>
        <x:v>-0.105</x:v>
      </x:c>
      <x:c r="K58" s="191" t="n">
        <x:f>'Assumptions'!K$22</x:f>
        <x:v>-0.1</x:v>
      </x:c>
    </x:row>
    <x:row r="59">
      <x:c r="A59" s="73" t="str">
        <x:v>Operating NWC</x:v>
      </x:c>
      <x:c r="B59" s="192" t="n">
        <x:f>B47*B58</x:f>
        <x:v>-758.7727811999999</x:v>
      </x:c>
      <x:c r="C59" s="192" t="n">
        <x:f>C47*C58</x:f>
        <x:v>-845.6101106039999</x:v>
      </x:c>
      <x:c r="D59" s="192" t="n">
        <x:f>D47*D58</x:f>
        <x:v>-915.2485903007998</x:v>
      </x:c>
      <x:c r="E59" s="192" t="n">
        <x:f>E47*E58</x:f>
        <x:v>-961.0110198158399</x:v>
      </x:c>
      <x:c r="F59" s="192" t="n">
        <x:f>F47*F58</x:f>
        <x:v>-986.6379803442625</x:v>
      </x:c>
      <x:c r="G59" s="192" t="n">
        <x:f>G47*G58</x:f>
        <x:v>-989.456946002389</x:v>
      </x:c>
      <x:c r="H59" s="192" t="n">
        <x:f>H47*H58</x:f>
        <x:v>-968.1455656269528</x:v>
      </x:c>
      <x:c r="I59" s="192" t="n">
        <x:f>I47*I58</x:f>
        <x:v>-931.8401069159422</x:v>
      </x:c>
      <x:c r="J59" s="192" t="n">
        <x:f>J47*J58</x:f>
        <x:v>-925.0630879565535</x:v>
      </x:c>
      <x:c r="K59" s="192" t="n">
        <x:f>K47*K58</x:f>
        <x:v>-907.442838662143</x:v>
      </x:c>
    </x:row>
    <x:row r="60">
      <x:c r="A60" s="73" t="str">
        <x:v>Change in Operating NWC</x:v>
      </x:c>
      <x:c r="B60" s="192" t="n">
        <x:f>B59-'Assumptions'!$H$43</x:f>
        <x:v>-114.18478119999997</x:v>
      </x:c>
      <x:c r="C60" s="192" t="n">
        <x:f>C59-B59</x:f>
        <x:v>-86.837329404</x:v>
      </x:c>
      <x:c r="D60" s="192" t="n">
        <x:f>D59-C59</x:f>
        <x:v>-69.63847969679989</x:v>
      </x:c>
      <x:c r="E60" s="192" t="n">
        <x:f>E59-D59</x:f>
        <x:v>-45.762429515040026</x:v>
      </x:c>
      <x:c r="F60" s="192" t="n">
        <x:f>F59-E59</x:f>
        <x:v>-25.626960528422615</x:v>
      </x:c>
      <x:c r="G60" s="192" t="n">
        <x:f>G59-F59</x:f>
        <x:v>-2.818965658126558</x:v>
      </x:c>
      <x:c r="H60" s="192" t="n">
        <x:f>H59-G59</x:f>
        <x:v>21.311380375436215</x:v>
      </x:c>
      <x:c r="I60" s="192" t="n">
        <x:f>I59-H59</x:f>
        <x:v>36.3054587110106</x:v>
      </x:c>
      <x:c r="J60" s="192" t="n">
        <x:f>J59-I59</x:f>
        <x:v>6.77701895938867</x:v>
      </x:c>
      <x:c r="K60" s="192" t="n">
        <x:f>K59-J59</x:f>
        <x:v>17.62024929441054</x:v>
      </x:c>
    </x:row>
    <x:row r="61">
      <x:c r="A61" s="73"/>
      <x:c r="B61" s="192"/>
      <x:c r="C61" s="192"/>
      <x:c r="D61" s="192"/>
      <x:c r="E61" s="192"/>
      <x:c r="F61" s="192"/>
      <x:c r="G61" s="192"/>
      <x:c r="H61" s="192"/>
      <x:c r="I61" s="192"/>
      <x:c r="J61" s="192"/>
      <x:c r="K61" s="192"/>
    </x:row>
    <x:row r="62">
      <x:c r="A62" s="176" t="str">
        <x:v>Unlevered FCFF</x:v>
      </x:c>
      <x:c r="B62" s="193" t="n">
        <x:f>B52+B55-B57-B60</x:f>
        <x:v>-20.708157680000028</x:v>
      </x:c>
      <x:c r="C62" s="193" t="n">
        <x:f>C52+C55-C57-C60</x:f>
        <x:v>37.095558192</x:v>
      </x:c>
      <x:c r="D62" s="193" t="n">
        <x:f>D52+D55-D57-D60</x:f>
        <x:v>144.00242765873986</x:v>
      </x:c>
      <x:c r="E62" s="193" t="n">
        <x:f>E52+E55-E57-E60</x:f>
        <x:v>295.6252946671584</x:v>
      </x:c>
      <x:c r="F62" s="193" t="n">
        <x:f>F52+F55-F57-F60</x:f>
        <x:v>469.6140516833408</x:v>
      </x:c>
      <x:c r="G62" s="193" t="n">
        <x:f>G52+G55-G57-G60</x:f>
        <x:v>634.5491696442673</x:v>
      </x:c>
      <x:c r="H62" s="193" t="n">
        <x:f>H52+H55-H57-H60</x:f>
        <x:v>769.3408315532421</x:v>
      </x:c>
      <x:c r="I62" s="193" t="n">
        <x:f>I52+I55-I57-I60</x:f>
        <x:v>905.7001766440148</x:v>
      </x:c>
      <x:c r="J62" s="193" t="n">
        <x:f>J52+J55-J57-J60</x:f>
        <x:v>1098.893624264873</x:v>
      </x:c>
      <x:c r="K62" s="193" t="n">
        <x:f>K52+K55-K57-K60</x:f>
        <x:v>1257.3369390259004</x:v>
      </x:c>
    </x:row>
    <x:row r="63">
      <x:c r="A63" s="73" t="str">
        <x:v>Discount Factor</x:v>
      </x:c>
      <x:c r="B63" s="194" t="n">
        <x:f>1/(1+$B$69)^0.5</x:f>
        <x:v>0.9500241107303541</x:v>
      </x:c>
      <x:c r="C63" s="194" t="n">
        <x:f>1/(1+$B$69)^1.5</x:f>
        <x:v>0.8574402814592309</x:v>
      </x:c>
      <x:c r="D63" s="194" t="n">
        <x:f>1/(1+$B$69)^2.5</x:f>
        <x:v>0.7738791341871093</x:v>
      </x:c>
      <x:c r="E63" s="194" t="n">
        <x:f>1/(1+$B$69)^3.5</x:f>
        <x:v>0.6984613707568923</x:v>
      </x:c>
      <x:c r="F63" s="194" t="n">
        <x:f>1/(1+$B$69)^4.5</x:f>
        <x:v>0.630393384300299</x:v>
      </x:c>
      <x:c r="G63" s="194" t="n">
        <x:f>1/(1+$B$69)^5.5</x:f>
        <x:v>0.5689589082628059</x:v>
      </x:c>
      <x:c r="H63" s="194" t="n">
        <x:f>1/(1+$B$69)^6.5</x:f>
        <x:v>0.5135114792660912</x:v>
      </x:c>
      <x:c r="I63" s="194" t="n">
        <x:f>1/(1+$B$69)^7.5</x:f>
        <x:v>0.4634676344961053</x:v>
      </x:c>
      <x:c r="J63" s="194" t="n">
        <x:f>1/(1+$B$69)^8.5</x:f>
        <x:v>0.4183007720341716</x:v>
      </x:c>
      <x:c r="K63" s="194" t="n">
        <x:f>1/(1+$B$69)^9.5</x:f>
        <x:v>0.3775356095245403</x:v>
      </x:c>
    </x:row>
    <x:row r="64">
      <x:c r="A64" s="73" t="str">
        <x:v>PV of FCFF</x:v>
      </x:c>
      <x:c r="B64" s="192" t="n">
        <x:f>B62*B63</x:f>
        <x:v>-19.673249084805978</x:v>
      </x:c>
      <x:c r="C64" s="192" t="n">
        <x:f>C62*C63</x:f>
        <x:v>31.807225857035757</x:v>
      </x:c>
      <x:c r="D64" s="192" t="n">
        <x:f>D62*D63</x:f>
        <x:v>111.44047403738745</x:v>
      </x:c>
      <x:c r="E64" s="192" t="n">
        <x:f>E62*E63</x:f>
        <x:v>206.48284854363368</x:v>
      </x:c>
      <x:c r="F64" s="192" t="n">
        <x:f>F62*F63</x:f>
        <x:v>296.04159135563674</x:v>
      </x:c>
      <x:c r="G64" s="192" t="n">
        <x:f>G62*G63</x:f>
        <x:v>361.03240279987233</x:v>
      </x:c>
      <x:c r="H64" s="192" t="n">
        <x:f>H62*H63</x:f>
        <x:v>395.06534847071003</x:v>
      </x:c>
      <x:c r="I64" s="192" t="n">
        <x:f>I62*I63</x:f>
        <x:v>419.76271843190625</x:v>
      </x:c>
      <x:c r="J64" s="192" t="n">
        <x:f>J62*J63</x:f>
        <x:v>459.6680514134253</x:v>
      </x:c>
      <x:c r="K64" s="192" t="n">
        <x:f>K62*K63</x:f>
        <x:v>474.6894676528631</x:v>
      </x:c>
    </x:row>
    <x:row r="65">
      <x:c r="A65" s="73" t="str">
        <x:v>EBITDA (GAAP EBIT + D&amp;A)</x:v>
      </x:c>
      <x:c r="B65" s="192" t="n">
        <x:f>B49+B55</x:f>
        <x:v>75.87727812</x:v>
      </x:c>
      <x:c r="C65" s="192" t="n">
        <x:f>C49+C55</x:f>
        <x:v>193.99290772679998</x:v>
      </x:c>
      <x:c r="D65" s="192" t="n">
        <x:f>D49+D55</x:f>
        <x:v>343.2182213627999</x:v>
      </x:c>
      <x:c r="E65" s="192" t="n">
        <x:f>E49+E55</x:f>
        <x:v>583.0133520216095</x:v>
      </x:c>
      <x:c r="F65" s="192" t="n">
        <x:f>F49+F55</x:f>
        <x:v>859.7845257285717</x:v>
      </x:c>
      <x:c r="G65" s="192" t="n">
        <x:f>G49+G55</x:f>
        <x:v>1156.903506095101</x:v>
      </x:c>
      <x:c r="H65" s="192" t="n">
        <x:f>H49+H55</x:f>
        <x:v>1395.7431904455239</x:v>
      </x:c>
      <x:c r="I65" s="192" t="n">
        <x:f>I49+I55</x:f>
        <x:v>1634.955823952517</x:v>
      </x:c>
      <x:c r="J65" s="192" t="n">
        <x:f>J49+J55</x:f>
        <x:v>1876.556549854723</x:v>
      </x:c>
      <x:c r="K65" s="192" t="n">
        <x:f>K49+K55</x:f>
        <x:v>2114.341814082793</x:v>
      </x:c>
    </x:row>
    <x:row r="66">
      <x:c r="A66" s="73"/>
      <x:c r="B66" s="73"/>
      <x:c r="C66" s="73"/>
      <x:c r="D66" s="73"/>
      <x:c r="E66" s="73"/>
      <x:c r="F66" s="73"/>
      <x:c r="G66" s="73"/>
      <x:c r="H66" s="73"/>
      <x:c r="I66" s="73"/>
      <x:c r="J66" s="73"/>
      <x:c r="K66" s="73"/>
    </x:row>
    <x:row r="67">
      <x:c r="A67" s="73" t="str">
        <x:v>PV of Explicit FCFF</x:v>
      </x:c>
      <x:c r="B67" s="192" t="n">
        <x:f>SUM(B64:K64)</x:f>
        <x:v>2736.3168794776648</x:v>
      </x:c>
      <x:c r="C67" s="73"/>
      <x:c r="D67" s="73"/>
      <x:c r="E67" s="73"/>
      <x:c r="F67" s="73"/>
      <x:c r="G67" s="73"/>
      <x:c r="H67" s="73"/>
      <x:c r="I67" s="73"/>
      <x:c r="J67" s="73"/>
      <x:c r="K67" s="73"/>
    </x:row>
    <x:row r="68">
      <x:c r="A68" s="73" t="str">
        <x:v>Terminal Growth</x:v>
      </x:c>
      <x:c r="B68" s="192" t="n">
        <x:f>'Assumptions'!$B$24</x:f>
        <x:v>0.025</x:v>
      </x:c>
      <x:c r="C68" s="73"/>
      <x:c r="D68" s="73"/>
      <x:c r="E68" s="73"/>
      <x:c r="F68" s="73"/>
      <x:c r="G68" s="73"/>
      <x:c r="H68" s="73"/>
      <x:c r="I68" s="73"/>
      <x:c r="J68" s="73"/>
      <x:c r="K68" s="73"/>
    </x:row>
    <x:row r="69">
      <x:c r="A69" s="73" t="str">
        <x:v>WACC</x:v>
      </x:c>
      <x:c r="B69" s="192" t="n">
        <x:f>'Assumptions'!$B$47+'Assumptions'!$B$23</x:f>
        <x:v>0.10797699999999999</x:v>
      </x:c>
      <x:c r="C69" s="73"/>
      <x:c r="D69" s="73"/>
      <x:c r="E69" s="73"/>
      <x:c r="F69" s="73"/>
      <x:c r="G69" s="73"/>
      <x:c r="H69" s="73"/>
      <x:c r="I69" s="73"/>
      <x:c r="J69" s="73"/>
      <x:c r="K69" s="73"/>
    </x:row>
    <x:row r="70">
      <x:c r="A70" s="73" t="str">
        <x:v>Terminal FCFF</x:v>
      </x:c>
      <x:c r="B70" s="192" t="n">
        <x:f>K62*(1+B68)</x:f>
        <x:v>1288.7703625015479</x:v>
      </x:c>
      <x:c r="C70" s="73"/>
      <x:c r="D70" s="73"/>
      <x:c r="E70" s="73"/>
      <x:c r="F70" s="73"/>
      <x:c r="G70" s="73"/>
      <x:c r="H70" s="73"/>
      <x:c r="I70" s="73"/>
      <x:c r="J70" s="73"/>
      <x:c r="K70" s="73"/>
    </x:row>
    <x:row r="71">
      <x:c r="A71" s="73" t="str">
        <x:v>Terminal Value</x:v>
      </x:c>
      <x:c r="B71" s="192" t="n">
        <x:f>B70/(B69-B68)</x:f>
        <x:v>15531.65771842255</x:v>
      </x:c>
      <x:c r="C71" s="73"/>
      <x:c r="D71" s="73"/>
      <x:c r="E71" s="73"/>
      <x:c r="F71" s="73"/>
      <x:c r="G71" s="73"/>
      <x:c r="H71" s="73"/>
      <x:c r="I71" s="73"/>
      <x:c r="J71" s="73"/>
      <x:c r="K71" s="73"/>
    </x:row>
    <x:row r="72">
      <x:c r="A72" s="73" t="str">
        <x:v>PV of Terminal Value</x:v>
      </x:c>
      <x:c r="B72" s="192" t="n">
        <x:f>B71/(1+B69)^10</x:f>
        <x:v>5570.707549856898</x:v>
      </x:c>
      <x:c r="C72" s="73"/>
      <x:c r="D72" s="73"/>
      <x:c r="E72" s="73"/>
      <x:c r="F72" s="73"/>
      <x:c r="G72" s="73"/>
      <x:c r="H72" s="73"/>
      <x:c r="I72" s="73"/>
      <x:c r="J72" s="73"/>
      <x:c r="K72" s="73"/>
    </x:row>
    <x:row r="73">
      <x:c r="A73" s="195" t="str">
        <x:v>Enterprise Value</x:v>
      </x:c>
      <x:c r="B73" s="196" t="n">
        <x:f>B67+B72</x:f>
        <x:v>8307.024429334564</x:v>
      </x:c>
      <x:c r="C73" s="73"/>
      <x:c r="D73" s="73"/>
      <x:c r="E73" s="73"/>
      <x:c r="F73" s="73"/>
      <x:c r="G73" s="73"/>
      <x:c r="H73" s="73"/>
      <x:c r="I73" s="73"/>
      <x:c r="J73" s="73"/>
      <x:c r="K73" s="73"/>
    </x:row>
    <x:row r="74">
      <x:c r="A74" s="197" t="str">
        <x:v>Net Cash</x:v>
      </x:c>
      <x:c r="B74" s="198" t="n">
        <x:f>'Assumptions'!$E$43</x:f>
        <x:v>3473.565</x:v>
      </x:c>
      <x:c r="C74" s="73"/>
      <x:c r="D74" s="73"/>
      <x:c r="E74" s="73"/>
      <x:c r="F74" s="73"/>
      <x:c r="G74" s="73"/>
      <x:c r="H74" s="73"/>
      <x:c r="I74" s="73"/>
      <x:c r="J74" s="73"/>
      <x:c r="K74" s="73"/>
    </x:row>
    <x:row r="75">
      <x:c r="A75" s="199" t="str">
        <x:v>Equity Value</x:v>
      </x:c>
      <x:c r="B75" s="200" t="n">
        <x:f>B73+B74</x:f>
        <x:v>11780.589429334565</x:v>
      </x:c>
      <x:c r="C75" s="73"/>
      <x:c r="D75" s="73"/>
      <x:c r="E75" s="73"/>
      <x:c r="F75" s="73"/>
      <x:c r="G75" s="73"/>
      <x:c r="H75" s="73"/>
      <x:c r="I75" s="73"/>
      <x:c r="J75" s="73"/>
      <x:c r="K75" s="73"/>
    </x:row>
    <x:row r="76">
      <x:c r="A76" s="201" t="str">
        <x:v>Value / Share</x:v>
      </x:c>
      <x:c r="B76" s="202" t="n">
        <x:f>B75/'Assumptions'!$E$42</x:f>
        <x:v>32.06475076030094</x:v>
      </x:c>
      <x:c r="C76" s="73"/>
      <x:c r="D76" s="73"/>
      <x:c r="E76" s="73"/>
      <x:c r="F76" s="73"/>
      <x:c r="G76" s="73"/>
      <x:c r="H76" s="73"/>
      <x:c r="I76" s="73"/>
      <x:c r="J76" s="73"/>
      <x:c r="K76" s="73"/>
    </x:row>
    <x:row r="77">
      <x:c r="A77" s="73" t="str">
        <x:v>Current Price</x:v>
      </x:c>
      <x:c r="B77" s="203" t="n">
        <x:f>'Assumptions'!$B$49</x:f>
        <x:v>288.15</x:v>
      </x:c>
      <x:c r="C77" s="73"/>
      <x:c r="D77" s="73"/>
      <x:c r="E77" s="73"/>
      <x:c r="F77" s="73"/>
      <x:c r="G77" s="73"/>
      <x:c r="H77" s="73"/>
      <x:c r="I77" s="73"/>
      <x:c r="J77" s="73"/>
      <x:c r="K77" s="73"/>
    </x:row>
    <x:row r="78">
      <x:c r="A78" s="73" t="str">
        <x:v>Upside / (Downside)</x:v>
      </x:c>
      <x:c r="B78" s="204" t="n">
        <x:f>B76/B77-1</x:f>
        <x:v>-0.8887220171428043</x:v>
      </x:c>
      <x:c r="C78" s="73"/>
      <x:c r="D78" s="73"/>
      <x:c r="E78" s="73"/>
      <x:c r="F78" s="73"/>
      <x:c r="G78" s="73"/>
      <x:c r="H78" s="73"/>
      <x:c r="I78" s="73"/>
      <x:c r="J78" s="73"/>
      <x:c r="K78" s="73"/>
    </x:row>
    <x:row r="79">
      <x:c r="A79" s="73" t="str">
        <x:v>Terminal Value / EV</x:v>
      </x:c>
      <x:c r="B79" s="204" t="n">
        <x:f>B72/B73</x:f>
        <x:v>0.6706020425538993</x:v>
      </x:c>
      <x:c r="C79" s="73"/>
      <x:c r="D79" s="73"/>
      <x:c r="E79" s="73"/>
      <x:c r="F79" s="73"/>
      <x:c r="G79" s="73"/>
      <x:c r="H79" s="73"/>
      <x:c r="I79" s="73"/>
      <x:c r="J79" s="73"/>
      <x:c r="K79" s="73"/>
    </x:row>
    <x:row r="80">
      <x:c r="A80" s="73" t="str">
        <x:v>Implied Terminal EV/EBITDA</x:v>
      </x:c>
      <x:c r="B80" s="205" t="n">
        <x:f>B71/K65</x:f>
        <x:v>7.345859413540579</x:v>
      </x:c>
      <x:c r="C80" s="73"/>
      <x:c r="D80" s="73"/>
      <x:c r="E80" s="73"/>
      <x:c r="F80" s="73"/>
      <x:c r="G80" s="73"/>
      <x:c r="H80" s="73"/>
      <x:c r="I80" s="73"/>
      <x:c r="J80" s="73"/>
      <x:c r="K80" s="73"/>
    </x:row>
    <x:row r="81">
      <x:c r="A81" s="73"/>
      <x:c r="B81" s="73"/>
      <x:c r="C81" s="73"/>
      <x:c r="D81" s="73"/>
      <x:c r="E81" s="73"/>
      <x:c r="F81" s="73"/>
      <x:c r="G81" s="73"/>
      <x:c r="H81" s="73"/>
      <x:c r="I81" s="73"/>
      <x:c r="J81" s="73"/>
      <x:c r="K81" s="73"/>
    </x:row>
    <x:row r="82">
      <x:c r="A82" s="73"/>
      <x:c r="B82" s="73"/>
      <x:c r="C82" s="73"/>
      <x:c r="D82" s="73"/>
      <x:c r="E82" s="73"/>
      <x:c r="F82" s="73"/>
      <x:c r="G82" s="73"/>
      <x:c r="H82" s="73"/>
      <x:c r="I82" s="73"/>
      <x:c r="J82" s="73"/>
      <x:c r="K82" s="73"/>
    </x:row>
    <x:row r="83">
      <x:c r="A83" s="73"/>
      <x:c r="B83" s="73"/>
      <x:c r="C83" s="73"/>
      <x:c r="D83" s="73"/>
      <x:c r="E83" s="73"/>
      <x:c r="F83" s="73"/>
      <x:c r="G83" s="73"/>
      <x:c r="H83" s="73"/>
      <x:c r="I83" s="73"/>
      <x:c r="J83" s="73"/>
      <x:c r="K83" s="73"/>
    </x:row>
    <x:row r="84" ht="22" customHeight="1">
      <x:c r="A84" s="74" t="str">
        <x:v>Upside Case</x:v>
      </x:c>
      <x:c r="B84" s="74"/>
      <x:c r="C84" s="74"/>
      <x:c r="D84" s="74"/>
      <x:c r="E84" s="74"/>
      <x:c r="F84" s="74"/>
      <x:c r="G84" s="74"/>
      <x:c r="H84" s="74"/>
      <x:c r="I84" s="74"/>
      <x:c r="J84" s="74"/>
      <x:c r="K84" s="74"/>
    </x:row>
    <x:row r="85">
      <x:c r="A85" s="159" t="str">
        <x:v>Fiscal Year</x:v>
      </x:c>
      <x:c r="B85" s="160" t="n">
        <x:v>2026</x:v>
      </x:c>
      <x:c r="C85" s="160" t="n">
        <x:v>2027</x:v>
      </x:c>
      <x:c r="D85" s="160" t="n">
        <x:v>2028</x:v>
      </x:c>
      <x:c r="E85" s="160" t="n">
        <x:v>2029</x:v>
      </x:c>
      <x:c r="F85" s="160" t="n">
        <x:v>2030</x:v>
      </x:c>
      <x:c r="G85" s="160" t="n">
        <x:v>2031</x:v>
      </x:c>
      <x:c r="H85" s="160" t="n">
        <x:v>2032</x:v>
      </x:c>
      <x:c r="I85" s="160" t="n">
        <x:v>2033</x:v>
      </x:c>
      <x:c r="J85" s="160" t="n">
        <x:v>2034</x:v>
      </x:c>
      <x:c r="K85" s="161" t="n">
        <x:v>2035</x:v>
      </x:c>
    </x:row>
    <x:row r="86">
      <x:c r="A86" s="73" t="str">
        <x:v>Revenue Growth</x:v>
      </x:c>
      <x:c r="B86" s="191" t="n">
        <x:f>'Assumptions'!B$28</x:f>
        <x:v>0.27</x:v>
      </x:c>
      <x:c r="C86" s="191" t="n">
        <x:f>'Assumptions'!C$28</x:f>
        <x:v>0.26</x:v>
      </x:c>
      <x:c r="D86" s="191" t="n">
        <x:f>'Assumptions'!D$28</x:f>
        <x:v>0.24</x:v>
      </x:c>
      <x:c r="E86" s="191" t="n">
        <x:f>'Assumptions'!E$28</x:f>
        <x:v>0.22</x:v>
      </x:c>
      <x:c r="F86" s="191" t="n">
        <x:f>'Assumptions'!F$28</x:f>
        <x:v>0.19</x:v>
      </x:c>
      <x:c r="G86" s="191" t="n">
        <x:f>'Assumptions'!G$28</x:f>
        <x:v>0.17</x:v>
      </x:c>
      <x:c r="H86" s="191" t="n">
        <x:f>'Assumptions'!H$28</x:f>
        <x:v>0.15</x:v>
      </x:c>
      <x:c r="I86" s="191" t="n">
        <x:f>'Assumptions'!I$28</x:f>
        <x:v>0.12</x:v>
      </x:c>
      <x:c r="J86" s="191" t="n">
        <x:f>'Assumptions'!J$28</x:f>
        <x:v>0.1</x:v>
      </x:c>
      <x:c r="K86" s="191" t="n">
        <x:f>'Assumptions'!K$28</x:f>
        <x:v>0.08</x:v>
      </x:c>
    </x:row>
    <x:row r="87">
      <x:c r="A87" s="73" t="str">
        <x:v>Revenue</x:v>
      </x:c>
      <x:c r="B87" s="192" t="n">
        <x:f>'Assumptions'!$H$39*(1+B86)</x:f>
        <x:v>4352.49066</x:v>
      </x:c>
      <x:c r="C87" s="192" t="n">
        <x:f>B87*(1+C86)</x:f>
        <x:v>5484.138231600001</x:v>
      </x:c>
      <x:c r="D87" s="192" t="n">
        <x:f>C87*(1+D86)</x:f>
        <x:v>6800.331407184001</x:v>
      </x:c>
      <x:c r="E87" s="192" t="n">
        <x:f>D87*(1+E86)</x:f>
        <x:v>8296.404316764481</x:v>
      </x:c>
      <x:c r="F87" s="192" t="n">
        <x:f>E87*(1+F86)</x:f>
        <x:v>9872.721136949733</x:v>
      </x:c>
      <x:c r="G87" s="192" t="n">
        <x:f>F87*(1+G86)</x:f>
        <x:v>11551.083730231187</x:v>
      </x:c>
      <x:c r="H87" s="192" t="n">
        <x:f>G87*(1+H86)</x:f>
        <x:v>13283.746289765864</x:v>
      </x:c>
      <x:c r="I87" s="192" t="n">
        <x:f>H87*(1+I86)</x:f>
        <x:v>14877.79584453777</x:v>
      </x:c>
      <x:c r="J87" s="192" t="n">
        <x:f>I87*(1+J86)</x:f>
        <x:v>16365.575428991548</x:v>
      </x:c>
      <x:c r="K87" s="192" t="n">
        <x:f>J87*(1+K86)</x:f>
        <x:v>17674.821463310873</x:v>
      </x:c>
    </x:row>
    <x:row r="88">
      <x:c r="A88" s="73" t="str">
        <x:v>GAAP EBIT Margin</x:v>
      </x:c>
      <x:c r="B88" s="191" t="n">
        <x:f>'Assumptions'!B$29</x:f>
        <x:v>0.02</x:v>
      </x:c>
      <x:c r="C88" s="191" t="n">
        <x:f>'Assumptions'!C$29</x:f>
        <x:v>0.07</x:v>
      </x:c>
      <x:c r="D88" s="191" t="n">
        <x:f>'Assumptions'!D$29</x:f>
        <x:v>0.12</x:v>
      </x:c>
      <x:c r="E88" s="191" t="n">
        <x:f>'Assumptions'!E$29</x:f>
        <x:v>0.17</x:v>
      </x:c>
      <x:c r="F88" s="191" t="n">
        <x:f>'Assumptions'!F$29</x:f>
        <x:v>0.22</x:v>
      </x:c>
      <x:c r="G88" s="191" t="n">
        <x:f>'Assumptions'!G$29</x:f>
        <x:v>0.26</x:v>
      </x:c>
      <x:c r="H88" s="191" t="n">
        <x:f>'Assumptions'!H$29</x:f>
        <x:v>0.29</x:v>
      </x:c>
      <x:c r="I88" s="191" t="n">
        <x:f>'Assumptions'!I$29</x:f>
        <x:v>0.31</x:v>
      </x:c>
      <x:c r="J88" s="191" t="n">
        <x:f>'Assumptions'!J$29</x:f>
        <x:v>0.33</x:v>
      </x:c>
      <x:c r="K88" s="191" t="n">
        <x:f>'Assumptions'!K$29</x:f>
        <x:v>0.35</x:v>
      </x:c>
    </x:row>
    <x:row r="89">
      <x:c r="A89" s="73" t="str">
        <x:v>GAAP EBIT</x:v>
      </x:c>
      <x:c r="B89" s="192" t="n">
        <x:f>B87*B88</x:f>
        <x:v>87.0498132</x:v>
      </x:c>
      <x:c r="C89" s="192" t="n">
        <x:f>C87*C88</x:f>
        <x:v>383.8896762120001</x:v>
      </x:c>
      <x:c r="D89" s="192" t="n">
        <x:f>D87*D88</x:f>
        <x:v>816.0397688620801</x:v>
      </x:c>
      <x:c r="E89" s="192" t="n">
        <x:f>E87*E88</x:f>
        <x:v>1410.388733849962</x:v>
      </x:c>
      <x:c r="F89" s="192" t="n">
        <x:f>F87*F88</x:f>
        <x:v>2171.9986501289413</x:v>
      </x:c>
      <x:c r="G89" s="192" t="n">
        <x:f>G87*G88</x:f>
        <x:v>3003.2817698601084</x:v>
      </x:c>
      <x:c r="H89" s="192" t="n">
        <x:f>H87*H88</x:f>
        <x:v>3852.2864240321005</x:v>
      </x:c>
      <x:c r="I89" s="192" t="n">
        <x:f>I87*I88</x:f>
        <x:v>4612.116711806709</x:v>
      </x:c>
      <x:c r="J89" s="192" t="n">
        <x:f>J87*J88</x:f>
        <x:v>5400.639891567211</x:v>
      </x:c>
      <x:c r="K89" s="192" t="n">
        <x:f>K87*K88</x:f>
        <x:v>6186.1875121588055</x:v>
      </x:c>
    </x:row>
    <x:row r="90">
      <x:c r="A90" s="73" t="str">
        <x:v>Cash Tax Rate</x:v>
      </x:c>
      <x:c r="B90" s="191" t="n">
        <x:f>'Assumptions'!B$30</x:f>
        <x:v>0</x:v>
      </x:c>
      <x:c r="C90" s="191" t="n">
        <x:f>'Assumptions'!C$30</x:f>
        <x:v>0.05</x:v>
      </x:c>
      <x:c r="D90" s="191" t="n">
        <x:f>'Assumptions'!D$30</x:f>
        <x:v>0.12</x:v>
      </x:c>
      <x:c r="E90" s="191" t="n">
        <x:f>'Assumptions'!E$30</x:f>
        <x:v>0.18</x:v>
      </x:c>
      <x:c r="F90" s="191" t="n">
        <x:f>'Assumptions'!F$30</x:f>
        <x:v>0.22</x:v>
      </x:c>
      <x:c r="G90" s="191" t="n">
        <x:f>'Assumptions'!G$30</x:f>
        <x:v>0.24</x:v>
      </x:c>
      <x:c r="H90" s="191" t="n">
        <x:f>'Assumptions'!H$30</x:f>
        <x:v>0.25</x:v>
      </x:c>
      <x:c r="I90" s="191" t="n">
        <x:f>'Assumptions'!I$30</x:f>
        <x:v>0.25</x:v>
      </x:c>
      <x:c r="J90" s="191" t="n">
        <x:f>'Assumptions'!J$30</x:f>
        <x:v>0.25</x:v>
      </x:c>
      <x:c r="K90" s="191" t="n">
        <x:f>'Assumptions'!K$30</x:f>
        <x:v>0.25</x:v>
      </x:c>
    </x:row>
    <x:row r="91">
      <x:c r="A91" s="73" t="str">
        <x:v>Cash Taxes</x:v>
      </x:c>
      <x:c r="B91" s="192" t="n">
        <x:f>MAX(B89*B90,0)</x:f>
        <x:v>0</x:v>
      </x:c>
      <x:c r="C91" s="192" t="n">
        <x:f>MAX(C89*C90,0)</x:f>
        <x:v>19.194483810600005</x:v>
      </x:c>
      <x:c r="D91" s="192" t="n">
        <x:f>MAX(D89*D90,0)</x:f>
        <x:v>97.92477226344961</x:v>
      </x:c>
      <x:c r="E91" s="192" t="n">
        <x:f>MAX(E89*E90,0)</x:f>
        <x:v>253.86997209299312</x:v>
      </x:c>
      <x:c r="F91" s="192" t="n">
        <x:f>MAX(F89*F90,0)</x:f>
        <x:v>477.83970302836707</x:v>
      </x:c>
      <x:c r="G91" s="192" t="n">
        <x:f>MAX(G89*G90,0)</x:f>
        <x:v>720.787624766426</x:v>
      </x:c>
      <x:c r="H91" s="192" t="n">
        <x:f>MAX(H89*H90,0)</x:f>
        <x:v>963.0716060080251</x:v>
      </x:c>
      <x:c r="I91" s="192" t="n">
        <x:f>MAX(I89*I90,0)</x:f>
        <x:v>1153.0291779516772</x:v>
      </x:c>
      <x:c r="J91" s="192" t="n">
        <x:f>MAX(J89*J90,0)</x:f>
        <x:v>1350.1599728918027</x:v>
      </x:c>
      <x:c r="K91" s="192" t="n">
        <x:f>MAX(K89*K90,0)</x:f>
        <x:v>1546.5468780397014</x:v>
      </x:c>
    </x:row>
    <x:row r="92">
      <x:c r="A92" s="73" t="str">
        <x:v>NOPAT</x:v>
      </x:c>
      <x:c r="B92" s="192" t="n">
        <x:f>B89-B91</x:f>
        <x:v>87.0498132</x:v>
      </x:c>
      <x:c r="C92" s="192" t="n">
        <x:f>C89-C91</x:f>
        <x:v>364.6951924014001</x:v>
      </x:c>
      <x:c r="D92" s="192" t="n">
        <x:f>D89-D91</x:f>
        <x:v>718.1149965986305</x:v>
      </x:c>
      <x:c r="E92" s="192" t="n">
        <x:f>E89-E91</x:f>
        <x:v>1156.5187617569688</x:v>
      </x:c>
      <x:c r="F92" s="192" t="n">
        <x:f>F89-F91</x:f>
        <x:v>1694.1589471005743</x:v>
      </x:c>
      <x:c r="G92" s="192" t="n">
        <x:f>G89-G91</x:f>
        <x:v>2282.494145093682</x:v>
      </x:c>
      <x:c r="H92" s="192" t="n">
        <x:f>H89-H91</x:f>
        <x:v>2889.2148180240756</x:v>
      </x:c>
      <x:c r="I92" s="192" t="n">
        <x:f>I89-I91</x:f>
        <x:v>3459.0875338550313</x:v>
      </x:c>
      <x:c r="J92" s="192" t="n">
        <x:f>J89-J91</x:f>
        <x:v>4050.479918675408</x:v>
      </x:c>
      <x:c r="K92" s="192" t="n">
        <x:f>K89-K91</x:f>
        <x:v>4639.640634119104</x:v>
      </x:c>
    </x:row>
    <x:row r="93">
      <x:c r="A93" s="73"/>
      <x:c r="B93" s="73"/>
      <x:c r="C93" s="73"/>
      <x:c r="D93" s="73"/>
      <x:c r="E93" s="73"/>
      <x:c r="F93" s="73"/>
      <x:c r="G93" s="73"/>
      <x:c r="H93" s="73"/>
      <x:c r="I93" s="73"/>
      <x:c r="J93" s="73"/>
      <x:c r="K93" s="73"/>
    </x:row>
    <x:row r="94">
      <x:c r="A94" s="73" t="str">
        <x:v>D&amp;A / Revenue</x:v>
      </x:c>
      <x:c r="B94" s="191" t="n">
        <x:f>'Assumptions'!B$31</x:f>
        <x:v>0.018</x:v>
      </x:c>
      <x:c r="C94" s="191" t="n">
        <x:f>'Assumptions'!C$31</x:f>
        <x:v>0.019</x:v>
      </x:c>
      <x:c r="D94" s="191" t="n">
        <x:f>'Assumptions'!D$31</x:f>
        <x:v>0.02</x:v>
      </x:c>
      <x:c r="E94" s="191" t="n">
        <x:f>'Assumptions'!E$31</x:f>
        <x:v>0.021</x:v>
      </x:c>
      <x:c r="F94" s="191" t="n">
        <x:f>'Assumptions'!F$31</x:f>
        <x:v>0.022</x:v>
      </x:c>
      <x:c r="G94" s="191" t="n">
        <x:f>'Assumptions'!G$31</x:f>
        <x:v>0.022</x:v>
      </x:c>
      <x:c r="H94" s="191" t="n">
        <x:f>'Assumptions'!H$31</x:f>
        <x:v>0.022</x:v>
      </x:c>
      <x:c r="I94" s="191" t="n">
        <x:f>'Assumptions'!I$31</x:f>
        <x:v>0.022</x:v>
      </x:c>
      <x:c r="J94" s="191" t="n">
        <x:f>'Assumptions'!J$31</x:f>
        <x:v>0.022</x:v>
      </x:c>
      <x:c r="K94" s="191" t="n">
        <x:f>'Assumptions'!K$31</x:f>
        <x:v>0.022</x:v>
      </x:c>
    </x:row>
    <x:row r="95">
      <x:c r="A95" s="73" t="str">
        <x:v>D&amp;A</x:v>
      </x:c>
      <x:c r="B95" s="192" t="n">
        <x:f>B87*B94</x:f>
        <x:v>78.34483188</x:v>
      </x:c>
      <x:c r="C95" s="192" t="n">
        <x:f>C87*C94</x:f>
        <x:v>104.19862640040002</x:v>
      </x:c>
      <x:c r="D95" s="192" t="n">
        <x:f>D87*D94</x:f>
        <x:v>136.00662814368002</x:v>
      </x:c>
      <x:c r="E95" s="192" t="n">
        <x:f>E87*E94</x:f>
        <x:v>174.22449065205413</x:v>
      </x:c>
      <x:c r="F95" s="192" t="n">
        <x:f>F87*F94</x:f>
        <x:v>217.1998650128941</x:v>
      </x:c>
      <x:c r="G95" s="192" t="n">
        <x:f>G87*G94</x:f>
        <x:v>254.12384206508608</x:v>
      </x:c>
      <x:c r="H95" s="192" t="n">
        <x:f>H87*H94</x:f>
        <x:v>292.242418374849</x:v>
      </x:c>
      <x:c r="I95" s="192" t="n">
        <x:f>I87*I94</x:f>
        <x:v>327.3115085798309</x:v>
      </x:c>
      <x:c r="J95" s="192" t="n">
        <x:f>J87*J94</x:f>
        <x:v>360.04265943781405</x:v>
      </x:c>
      <x:c r="K95" s="192" t="n">
        <x:f>K87*K94</x:f>
        <x:v>388.8460721928392</x:v>
      </x:c>
    </x:row>
    <x:row r="96">
      <x:c r="A96" s="73" t="str">
        <x:v>Capex / Revenue</x:v>
      </x:c>
      <x:c r="B96" s="191" t="n">
        <x:f>'Assumptions'!B$32</x:f>
        <x:v>0.045</x:v>
      </x:c>
      <x:c r="C96" s="191" t="n">
        <x:f>'Assumptions'!C$32</x:f>
        <x:v>0.042</x:v>
      </x:c>
      <x:c r="D96" s="191" t="n">
        <x:f>'Assumptions'!D$32</x:f>
        <x:v>0.039</x:v>
      </x:c>
      <x:c r="E96" s="191" t="n">
        <x:f>'Assumptions'!E$32</x:f>
        <x:v>0.037</x:v>
      </x:c>
      <x:c r="F96" s="191" t="n">
        <x:f>'Assumptions'!F$32</x:f>
        <x:v>0.035</x:v>
      </x:c>
      <x:c r="G96" s="191" t="n">
        <x:f>'Assumptions'!G$32</x:f>
        <x:v>0.034</x:v>
      </x:c>
      <x:c r="H96" s="191" t="n">
        <x:f>'Assumptions'!H$32</x:f>
        <x:v>0.033</x:v>
      </x:c>
      <x:c r="I96" s="191" t="n">
        <x:f>'Assumptions'!I$32</x:f>
        <x:v>0.033</x:v>
      </x:c>
      <x:c r="J96" s="191" t="n">
        <x:f>'Assumptions'!J$32</x:f>
        <x:v>0.033</x:v>
      </x:c>
      <x:c r="K96" s="191" t="n">
        <x:f>'Assumptions'!K$32</x:f>
        <x:v>0.033</x:v>
      </x:c>
    </x:row>
    <x:row r="97">
      <x:c r="A97" s="73" t="str">
        <x:v>Capex + Capitalized Software</x:v>
      </x:c>
      <x:c r="B97" s="192" t="n">
        <x:f>B87*B96</x:f>
        <x:v>195.8620797</x:v>
      </x:c>
      <x:c r="C97" s="192" t="n">
        <x:f>C87*C96</x:f>
        <x:v>230.33380572720006</x:v>
      </x:c>
      <x:c r="D97" s="192" t="n">
        <x:f>D87*D96</x:f>
        <x:v>265.21292488017605</x:v>
      </x:c>
      <x:c r="E97" s="192" t="n">
        <x:f>E87*E96</x:f>
        <x:v>306.9669597202858</x:v>
      </x:c>
      <x:c r="F97" s="192" t="n">
        <x:f>F87*F96</x:f>
        <x:v>345.5452397932407</x:v>
      </x:c>
      <x:c r="G97" s="192" t="n">
        <x:f>G87*G96</x:f>
        <x:v>392.73684682786035</x:v>
      </x:c>
      <x:c r="H97" s="192" t="n">
        <x:f>H87*H96</x:f>
        <x:v>438.36362756227356</x:v>
      </x:c>
      <x:c r="I97" s="192" t="n">
        <x:f>I87*I96</x:f>
        <x:v>490.96726286974643</x:v>
      </x:c>
      <x:c r="J97" s="192" t="n">
        <x:f>J87*J96</x:f>
        <x:v>540.063989156721</x:v>
      </x:c>
      <x:c r="K97" s="192" t="n">
        <x:f>K87*K96</x:f>
        <x:v>583.2691082892588</x:v>
      </x:c>
    </x:row>
    <x:row r="98">
      <x:c r="A98" s="73" t="str">
        <x:v>Operating NWC / Revenue</x:v>
      </x:c>
      <x:c r="B98" s="191" t="n">
        <x:f>'Assumptions'!B$33</x:f>
        <x:v>-0.185</x:v>
      </x:c>
      <x:c r="C98" s="191" t="n">
        <x:f>'Assumptions'!C$33</x:f>
        <x:v>-0.185</x:v>
      </x:c>
      <x:c r="D98" s="191" t="n">
        <x:f>'Assumptions'!D$33</x:f>
        <x:v>-0.18</x:v>
      </x:c>
      <x:c r="E98" s="191" t="n">
        <x:f>'Assumptions'!E$33</x:f>
        <x:v>-0.175</x:v>
      </x:c>
      <x:c r="F98" s="191" t="n">
        <x:f>'Assumptions'!F$33</x:f>
        <x:v>-0.17</x:v>
      </x:c>
      <x:c r="G98" s="191" t="n">
        <x:f>'Assumptions'!G$33</x:f>
        <x:v>-0.165</x:v>
      </x:c>
      <x:c r="H98" s="191" t="n">
        <x:f>'Assumptions'!H$33</x:f>
        <x:v>-0.16</x:v>
      </x:c>
      <x:c r="I98" s="191" t="n">
        <x:f>'Assumptions'!I$33</x:f>
        <x:v>-0.155</x:v>
      </x:c>
      <x:c r="J98" s="191" t="n">
        <x:f>'Assumptions'!J$33</x:f>
        <x:v>-0.15</x:v>
      </x:c>
      <x:c r="K98" s="191" t="n">
        <x:f>'Assumptions'!K$33</x:f>
        <x:v>-0.15</x:v>
      </x:c>
    </x:row>
    <x:row r="99">
      <x:c r="A99" s="73" t="str">
        <x:v>Operating NWC</x:v>
      </x:c>
      <x:c r="B99" s="192" t="n">
        <x:f>B87*B98</x:f>
        <x:v>-805.2107721000001</x:v>
      </x:c>
      <x:c r="C99" s="192" t="n">
        <x:f>C87*C98</x:f>
        <x:v>-1014.5655728460001</x:v>
      </x:c>
      <x:c r="D99" s="192" t="n">
        <x:f>D87*D98</x:f>
        <x:v>-1224.0596532931202</x:v>
      </x:c>
      <x:c r="E99" s="192" t="n">
        <x:f>E87*E98</x:f>
        <x:v>-1451.870755433784</x:v>
      </x:c>
      <x:c r="F99" s="192" t="n">
        <x:f>F87*F98</x:f>
        <x:v>-1678.3625932814546</x:v>
      </x:c>
      <x:c r="G99" s="192" t="n">
        <x:f>G87*G98</x:f>
        <x:v>-1905.9288154881458</x:v>
      </x:c>
      <x:c r="H99" s="192" t="n">
        <x:f>H87*H98</x:f>
        <x:v>-2125.3994063625382</x:v>
      </x:c>
      <x:c r="I99" s="192" t="n">
        <x:f>I87*I98</x:f>
        <x:v>-2306.0583559033544</x:v>
      </x:c>
      <x:c r="J99" s="192" t="n">
        <x:f>J87*J98</x:f>
        <x:v>-2454.8363143487322</x:v>
      </x:c>
      <x:c r="K99" s="192" t="n">
        <x:f>K87*K98</x:f>
        <x:v>-2651.223219496631</x:v>
      </x:c>
    </x:row>
    <x:row r="100">
      <x:c r="A100" s="73" t="str">
        <x:v>Change in Operating NWC</x:v>
      </x:c>
      <x:c r="B100" s="192" t="n">
        <x:f>B99-'Assumptions'!$H$43</x:f>
        <x:v>-160.62277210000013</x:v>
      </x:c>
      <x:c r="C100" s="192" t="n">
        <x:f>C99-B99</x:f>
        <x:v>-209.35480074600002</x:v>
      </x:c>
      <x:c r="D100" s="192" t="n">
        <x:f>D99-C99</x:f>
        <x:v>-209.49408044712004</x:v>
      </x:c>
      <x:c r="E100" s="192" t="n">
        <x:f>E99-D99</x:f>
        <x:v>-227.81110214066393</x:v>
      </x:c>
      <x:c r="F100" s="192" t="n">
        <x:f>F99-E99</x:f>
        <x:v>-226.49183784767047</x:v>
      </x:c>
      <x:c r="G100" s="192" t="n">
        <x:f>G99-F99</x:f>
        <x:v>-227.56622220669124</x:v>
      </x:c>
      <x:c r="H100" s="192" t="n">
        <x:f>H99-G99</x:f>
        <x:v>-219.47059087439243</x:v>
      </x:c>
      <x:c r="I100" s="192" t="n">
        <x:f>I99-H99</x:f>
        <x:v>-180.65894954081614</x:v>
      </x:c>
      <x:c r="J100" s="192" t="n">
        <x:f>J99-I99</x:f>
        <x:v>-148.77795844537786</x:v>
      </x:c>
      <x:c r="K100" s="192" t="n">
        <x:f>K99-J99</x:f>
        <x:v>-196.3869051478987</x:v>
      </x:c>
    </x:row>
    <x:row r="101">
      <x:c r="A101" s="73"/>
      <x:c r="B101" s="192"/>
      <x:c r="C101" s="192"/>
      <x:c r="D101" s="192"/>
      <x:c r="E101" s="192"/>
      <x:c r="F101" s="192"/>
      <x:c r="G101" s="192"/>
      <x:c r="H101" s="192"/>
      <x:c r="I101" s="192"/>
      <x:c r="J101" s="192"/>
      <x:c r="K101" s="192"/>
    </x:row>
    <x:row r="102">
      <x:c r="A102" s="176" t="str">
        <x:v>Unlevered FCFF</x:v>
      </x:c>
      <x:c r="B102" s="193" t="n">
        <x:f>B92+B95-B97-B100</x:f>
        <x:v>130.15533748000013</x:v>
      </x:c>
      <x:c r="C102" s="193" t="n">
        <x:f>C92+C95-C97-C100</x:f>
        <x:v>447.9148138206001</x:v>
      </x:c>
      <x:c r="D102" s="193" t="n">
        <x:f>D92+D95-D97-D100</x:f>
        <x:v>798.4027803092545</x:v>
      </x:c>
      <x:c r="E102" s="193" t="n">
        <x:f>E92+E95-E97-E100</x:f>
        <x:v>1251.587394829401</x:v>
      </x:c>
      <x:c r="F102" s="193" t="n">
        <x:f>F92+F95-F97-F100</x:f>
        <x:v>1792.3054101678983</x:v>
      </x:c>
      <x:c r="G102" s="193" t="n">
        <x:f>G92+G95-G97-G100</x:f>
        <x:v>2371.447362537599</x:v>
      </x:c>
      <x:c r="H102" s="193" t="n">
        <x:f>H92+H95-H97-H100</x:f>
        <x:v>2962.5641997110433</x:v>
      </x:c>
      <x:c r="I102" s="193" t="n">
        <x:f>I92+I95-I97-I100</x:f>
        <x:v>3476.090729105932</x:v>
      </x:c>
      <x:c r="J102" s="193" t="n">
        <x:f>J92+J95-J97-J100</x:f>
        <x:v>4019.236547401879</x:v>
      </x:c>
      <x:c r="K102" s="193" t="n">
        <x:f>K92+K95-K97-K100</x:f>
        <x:v>4641.6045031705835</x:v>
      </x:c>
    </x:row>
    <x:row r="103">
      <x:c r="A103" s="73" t="str">
        <x:v>Discount Factor</x:v>
      </x:c>
      <x:c r="B103" s="194" t="n">
        <x:f>1/(1+$B$109)^0.5</x:f>
        <x:v>0.9576167745612253</x:v>
      </x:c>
      <x:c r="C103" s="194" t="n">
        <x:f>1/(1+$B$109)^1.5</x:f>
        <x:v>0.878163202489576</x:v>
      </x:c>
      <x:c r="D103" s="194" t="n">
        <x:f>1/(1+$B$109)^2.5</x:f>
        <x:v>0.8053019022772384</x:v>
      </x:c>
      <x:c r="E103" s="194" t="n">
        <x:f>1/(1+$B$109)^3.5</x:f>
        <x:v>0.7384859123825982</x:v>
      </x:c>
      <x:c r="F103" s="194" t="n">
        <x:f>1/(1+$B$109)^4.5</x:f>
        <x:v>0.6772136527249986</x:v>
      </x:c>
      <x:c r="G103" s="194" t="n">
        <x:f>1/(1+$B$109)^5.5</x:f>
        <x:v>0.621025159379793</x:v>
      </x:c>
      <x:c r="H103" s="194" t="n">
        <x:f>1/(1+$B$109)^6.5</x:f>
        <x:v>0.5694986316811753</x:v>
      </x:c>
      <x:c r="I103" s="194" t="n">
        <x:f>1/(1+$B$109)^7.5</x:f>
        <x:v>0.522247265812278</x:v>
      </x:c>
      <x:c r="J103" s="194" t="n">
        <x:f>1/(1+$B$109)^8.5</x:f>
        <x:v>0.47891635111265807</x:v>
      </x:c>
      <x:c r="K103" s="194" t="n">
        <x:f>1/(1+$B$109)^9.5</x:f>
        <x:v>0.4391806073054801</x:v>
      </x:c>
    </x:row>
    <x:row r="104">
      <x:c r="A104" s="73" t="str">
        <x:v>PV of FCFF</x:v>
      </x:c>
      <x:c r="B104" s="192" t="n">
        <x:f>B102*B103</x:f>
        <x:v>124.63893446952548</x:v>
      </x:c>
      <x:c r="C104" s="192" t="n">
        <x:f>C102*C103</x:f>
        <x:v>393.3423073472204</x:v>
      </x:c>
      <x:c r="D104" s="192" t="n">
        <x:f>D102*D103</x:f>
        <x:v>642.9552777664787</x:v>
      </x:c>
      <x:c r="E104" s="192" t="n">
        <x:f>E102*E103</x:f>
        <x:v>924.2796591971494</x:v>
      </x:c>
      <x:c r="F104" s="192" t="n">
        <x:f>F102*F103</x:f>
        <x:v>1213.7736936185793</x:v>
      </x:c>
      <x:c r="G104" s="192" t="n">
        <x:f>G102*G103</x:f>
        <x:v>1472.7284762807021</x:v>
      </x:c>
      <x:c r="H104" s="192" t="n">
        <x:f>H102*H103</x:f>
        <x:v>1687.1762580030754</x:v>
      </x:c>
      <x:c r="I104" s="192" t="n">
        <x:f>I102*I103</x:f>
        <x:v>1815.3788789909809</x:v>
      </x:c>
      <x:c r="J104" s="192" t="n">
        <x:f>J102*J103</x:f>
        <x:v>1924.8781015403458</x:v>
      </x:c>
      <x:c r="K104" s="192" t="n">
        <x:f>K102*K103</x:f>
        <x:v>2038.502684574308</x:v>
      </x:c>
    </x:row>
    <x:row r="105">
      <x:c r="A105" s="73" t="str">
        <x:v>EBITDA (GAAP EBIT + D&amp;A)</x:v>
      </x:c>
      <x:c r="B105" s="192" t="n">
        <x:f>B89+B95</x:f>
        <x:v>165.39464508</x:v>
      </x:c>
      <x:c r="C105" s="192" t="n">
        <x:f>C89+C95</x:f>
        <x:v>488.0883026124001</x:v>
      </x:c>
      <x:c r="D105" s="192" t="n">
        <x:f>D89+D95</x:f>
        <x:v>952.0463970057601</x:v>
      </x:c>
      <x:c r="E105" s="192" t="n">
        <x:f>E89+E95</x:f>
        <x:v>1584.613224502016</x:v>
      </x:c>
      <x:c r="F105" s="192" t="n">
        <x:f>F89+F95</x:f>
        <x:v>2389.1985151418353</x:v>
      </x:c>
      <x:c r="G105" s="192" t="n">
        <x:f>G89+G95</x:f>
        <x:v>3257.4056119251945</x:v>
      </x:c>
      <x:c r="H105" s="192" t="n">
        <x:f>H89+H95</x:f>
        <x:v>4144.5288424069495</x:v>
      </x:c>
      <x:c r="I105" s="192" t="n">
        <x:f>I89+I95</x:f>
        <x:v>4939.42822038654</x:v>
      </x:c>
      <x:c r="J105" s="192" t="n">
        <x:f>J89+J95</x:f>
        <x:v>5760.682551005025</x:v>
      </x:c>
      <x:c r="K105" s="192" t="n">
        <x:f>K89+K95</x:f>
        <x:v>6575.033584351645</x:v>
      </x:c>
    </x:row>
    <x:row r="106">
      <x:c r="A106" s="73"/>
      <x:c r="B106" s="73"/>
      <x:c r="C106" s="73"/>
      <x:c r="D106" s="73"/>
      <x:c r="E106" s="73"/>
      <x:c r="F106" s="73"/>
      <x:c r="G106" s="73"/>
      <x:c r="H106" s="73"/>
      <x:c r="I106" s="73"/>
      <x:c r="J106" s="73"/>
      <x:c r="K106" s="73"/>
    </x:row>
    <x:row r="107">
      <x:c r="A107" s="73" t="str">
        <x:v>PV of Explicit FCFF</x:v>
      </x:c>
      <x:c r="B107" s="192" t="n">
        <x:f>SUM(B104:K104)</x:f>
        <x:v>12237.654271788366</x:v>
      </x:c>
      <x:c r="C107" s="73"/>
      <x:c r="D107" s="73"/>
      <x:c r="E107" s="73"/>
      <x:c r="F107" s="73"/>
      <x:c r="G107" s="73"/>
      <x:c r="H107" s="73"/>
      <x:c r="I107" s="73"/>
      <x:c r="J107" s="73"/>
      <x:c r="K107" s="73"/>
    </x:row>
    <x:row r="108">
      <x:c r="A108" s="73" t="str">
        <x:v>Terminal Growth</x:v>
      </x:c>
      <x:c r="B108" s="192" t="n">
        <x:f>'Assumptions'!$B$35</x:f>
        <x:v>0.035</x:v>
      </x:c>
      <x:c r="C108" s="73"/>
      <x:c r="D108" s="73"/>
      <x:c r="E108" s="73"/>
      <x:c r="F108" s="73"/>
      <x:c r="G108" s="73"/>
      <x:c r="H108" s="73"/>
      <x:c r="I108" s="73"/>
      <x:c r="J108" s="73"/>
      <x:c r="K108" s="73"/>
    </x:row>
    <x:row r="109">
      <x:c r="A109" s="73" t="str">
        <x:v>WACC</x:v>
      </x:c>
      <x:c r="B109" s="192" t="n">
        <x:f>'Assumptions'!$B$47+'Assumptions'!$B$34</x:f>
        <x:v>0.090477</x:v>
      </x:c>
      <x:c r="C109" s="73"/>
      <x:c r="D109" s="73"/>
      <x:c r="E109" s="73"/>
      <x:c r="F109" s="73"/>
      <x:c r="G109" s="73"/>
      <x:c r="H109" s="73"/>
      <x:c r="I109" s="73"/>
      <x:c r="J109" s="73"/>
      <x:c r="K109" s="73"/>
    </x:row>
    <x:row r="110">
      <x:c r="A110" s="73" t="str">
        <x:v>Terminal FCFF</x:v>
      </x:c>
      <x:c r="B110" s="192" t="n">
        <x:f>K102*(1+B108)</x:f>
        <x:v>4804.060660781553</x:v>
      </x:c>
      <x:c r="C110" s="73"/>
      <x:c r="D110" s="73"/>
      <x:c r="E110" s="73"/>
      <x:c r="F110" s="73"/>
      <x:c r="G110" s="73"/>
      <x:c r="H110" s="73"/>
      <x:c r="I110" s="73"/>
      <x:c r="J110" s="73"/>
      <x:c r="K110" s="73"/>
    </x:row>
    <x:row r="111">
      <x:c r="A111" s="73" t="str">
        <x:v>Terminal Value</x:v>
      </x:c>
      <x:c r="B111" s="192" t="n">
        <x:f>B110/(B109-B108)</x:f>
        <x:v>86595.53798477844</x:v>
      </x:c>
      <x:c r="C111" s="73"/>
      <x:c r="D111" s="73"/>
      <x:c r="E111" s="73"/>
      <x:c r="F111" s="73"/>
      <x:c r="G111" s="73"/>
      <x:c r="H111" s="73"/>
      <x:c r="I111" s="73"/>
      <x:c r="J111" s="73"/>
      <x:c r="K111" s="73"/>
    </x:row>
    <x:row r="112">
      <x:c r="A112" s="73" t="str">
        <x:v>PV of Terminal Value</x:v>
      </x:c>
      <x:c r="B112" s="192" t="n">
        <x:f>B111/(1+B109)^10</x:f>
        <x:v>36419.2010840028</x:v>
      </x:c>
      <x:c r="C112" s="73"/>
      <x:c r="D112" s="73"/>
      <x:c r="E112" s="73"/>
      <x:c r="F112" s="73"/>
      <x:c r="G112" s="73"/>
      <x:c r="H112" s="73"/>
      <x:c r="I112" s="73"/>
      <x:c r="J112" s="73"/>
      <x:c r="K112" s="73"/>
    </x:row>
    <x:row r="113">
      <x:c r="A113" s="195" t="str">
        <x:v>Enterprise Value</x:v>
      </x:c>
      <x:c r="B113" s="196" t="n">
        <x:f>B107+B112</x:f>
        <x:v>48656.855355791165</x:v>
      </x:c>
      <x:c r="C113" s="73"/>
      <x:c r="D113" s="73"/>
      <x:c r="E113" s="73"/>
      <x:c r="F113" s="73"/>
      <x:c r="G113" s="73"/>
      <x:c r="H113" s="73"/>
      <x:c r="I113" s="73"/>
      <x:c r="J113" s="73"/>
      <x:c r="K113" s="73"/>
    </x:row>
    <x:row r="114">
      <x:c r="A114" s="197" t="str">
        <x:v>Net Cash</x:v>
      </x:c>
      <x:c r="B114" s="198" t="n">
        <x:f>'Assumptions'!$E$43</x:f>
        <x:v>3473.565</x:v>
      </x:c>
      <x:c r="C114" s="73"/>
      <x:c r="D114" s="73"/>
      <x:c r="E114" s="73"/>
      <x:c r="F114" s="73"/>
      <x:c r="G114" s="73"/>
      <x:c r="H114" s="73"/>
      <x:c r="I114" s="73"/>
      <x:c r="J114" s="73"/>
      <x:c r="K114" s="73"/>
    </x:row>
    <x:row r="115">
      <x:c r="A115" s="199" t="str">
        <x:v>Equity Value</x:v>
      </x:c>
      <x:c r="B115" s="200" t="n">
        <x:f>B113+B114</x:f>
        <x:v>52130.42035579117</x:v>
      </x:c>
      <x:c r="C115" s="73"/>
      <x:c r="D115" s="73"/>
      <x:c r="E115" s="73"/>
      <x:c r="F115" s="73"/>
      <x:c r="G115" s="73"/>
      <x:c r="H115" s="73"/>
      <x:c r="I115" s="73"/>
      <x:c r="J115" s="73"/>
      <x:c r="K115" s="73"/>
    </x:row>
    <x:row r="116">
      <x:c r="A116" s="201" t="str">
        <x:v>Value / Share</x:v>
      </x:c>
      <x:c r="B116" s="202" t="n">
        <x:f>B115/'Assumptions'!$E$42</x:f>
        <x:v>141.8900935105911</x:v>
      </x:c>
      <x:c r="C116" s="73"/>
      <x:c r="D116" s="73"/>
      <x:c r="E116" s="73"/>
      <x:c r="F116" s="73"/>
      <x:c r="G116" s="73"/>
      <x:c r="H116" s="73"/>
      <x:c r="I116" s="73"/>
      <x:c r="J116" s="73"/>
      <x:c r="K116" s="73"/>
    </x:row>
    <x:row r="117">
      <x:c r="A117" s="73" t="str">
        <x:v>Current Price</x:v>
      </x:c>
      <x:c r="B117" s="203" t="n">
        <x:f>'Assumptions'!$B$49</x:f>
        <x:v>288.15</x:v>
      </x:c>
      <x:c r="C117" s="73"/>
      <x:c r="D117" s="73"/>
      <x:c r="E117" s="73"/>
      <x:c r="F117" s="73"/>
      <x:c r="G117" s="73"/>
      <x:c r="H117" s="73"/>
      <x:c r="I117" s="73"/>
      <x:c r="J117" s="73"/>
      <x:c r="K117" s="73"/>
    </x:row>
    <x:row r="118">
      <x:c r="A118" s="73" t="str">
        <x:v>Upside / (Downside)</x:v>
      </x:c>
      <x:c r="B118" s="204" t="n">
        <x:f>B116/B117-1</x:f>
        <x:v>-0.5075825316307787</x:v>
      </x:c>
      <x:c r="C118" s="73"/>
      <x:c r="D118" s="73"/>
      <x:c r="E118" s="73"/>
      <x:c r="F118" s="73"/>
      <x:c r="G118" s="73"/>
      <x:c r="H118" s="73"/>
      <x:c r="I118" s="73"/>
      <x:c r="J118" s="73"/>
      <x:c r="K118" s="73"/>
    </x:row>
    <x:row r="119">
      <x:c r="A119" s="73" t="str">
        <x:v>Terminal Value / EV</x:v>
      </x:c>
      <x:c r="B119" s="204" t="n">
        <x:f>B112/B113</x:f>
        <x:v>0.7484906457208639</x:v>
      </x:c>
      <x:c r="C119" s="73"/>
      <x:c r="D119" s="73"/>
      <x:c r="E119" s="73"/>
      <x:c r="F119" s="73"/>
      <x:c r="G119" s="73"/>
      <x:c r="H119" s="73"/>
      <x:c r="I119" s="73"/>
      <x:c r="J119" s="73"/>
      <x:c r="K119" s="73"/>
    </x:row>
    <x:row r="120">
      <x:c r="A120" s="73" t="str">
        <x:v>Implied Terminal EV/EBITDA</x:v>
      </x:c>
      <x:c r="B120" s="205" t="n">
        <x:f>B111/K105</x:f>
        <x:v>13.170356755419904</x:v>
      </x:c>
      <x:c r="C120" s="73"/>
      <x:c r="D120" s="73"/>
      <x:c r="E120" s="73"/>
      <x:c r="F120" s="73"/>
      <x:c r="G120" s="73"/>
      <x:c r="H120" s="73"/>
      <x:c r="I120" s="73"/>
      <x:c r="J120" s="73"/>
      <x:c r="K120" s="73"/>
    </x:row>
    <x:row r="121">
      <x:c r="A121" s="73"/>
      <x:c r="B121" s="73"/>
      <x:c r="C121" s="73"/>
      <x:c r="D121" s="73"/>
      <x:c r="E121" s="73"/>
      <x:c r="F121" s="73"/>
      <x:c r="G121" s="73"/>
      <x:c r="H121" s="73"/>
      <x:c r="I121" s="73"/>
      <x:c r="J121" s="73"/>
      <x:c r="K121" s="73"/>
    </x:row>
    <x:row r="122">
      <x:c r="A122" s="73"/>
      <x:c r="B122" s="73"/>
      <x:c r="C122" s="73"/>
      <x:c r="D122" s="73"/>
      <x:c r="E122" s="73"/>
      <x:c r="F122" s="73"/>
      <x:c r="G122" s="73"/>
      <x:c r="H122" s="73"/>
      <x:c r="I122" s="73"/>
      <x:c r="J122" s="73"/>
      <x:c r="K122" s="73"/>
    </x:row>
    <x:row r="123">
      <x:c r="A123" s="73"/>
      <x:c r="B123" s="73"/>
      <x:c r="C123" s="73"/>
      <x:c r="D123" s="73"/>
      <x:c r="E123" s="73"/>
      <x:c r="F123" s="73"/>
      <x:c r="G123" s="73"/>
      <x:c r="H123" s="73"/>
      <x:c r="I123" s="73"/>
      <x:c r="J123" s="73"/>
      <x:c r="K123" s="73"/>
    </x:row>
    <x:row r="124">
      <x:c r="A124" s="73"/>
      <x:c r="B124" s="73"/>
      <x:c r="C124" s="73"/>
      <x:c r="D124" s="73"/>
      <x:c r="E124" s="73"/>
      <x:c r="F124" s="73"/>
      <x:c r="G124" s="73"/>
      <x:c r="H124" s="73"/>
      <x:c r="I124" s="73"/>
      <x:c r="J124" s="73"/>
      <x:c r="K124" s="73"/>
    </x:row>
  </x:sheetData>
  <x:mergeCells>
    <x:mergeCell ref="A1:K2"/>
    <x:mergeCell ref="A4:K4"/>
    <x:mergeCell ref="A44:K44"/>
    <x:mergeCell ref="A84:K84"/>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30" customHeight="1">
      <x:c r="A1" s="71" t="str">
        <x:v>Scenario Summary, Sensitivity, and Reverse DCF</x:v>
      </x:c>
      <x:c r="B1" s="71"/>
      <x:c r="C1" s="71"/>
      <x:c r="D1" s="71"/>
      <x:c r="E1" s="71"/>
      <x:c r="F1" s="71"/>
      <x:c r="G1" s="71"/>
      <x:c r="H1" s="71"/>
      <x:c r="I1" s="71"/>
      <x:c r="J1" s="71"/>
      <x:c r="K1" s="71"/>
      <x:c r="L1" s="71"/>
      <x:c r="M1" s="71"/>
      <x:c r="N1" s="71"/>
    </x:row>
    <x:row r="2" ht="30" customHeight="1">
      <x:c r="A2" s="71"/>
      <x:c r="B2" s="71"/>
      <x:c r="C2" s="71"/>
      <x:c r="D2" s="71"/>
      <x:c r="E2" s="71"/>
      <x:c r="F2" s="71"/>
      <x:c r="G2" s="71"/>
      <x:c r="H2" s="71"/>
      <x:c r="I2" s="71"/>
      <x:c r="J2" s="71"/>
      <x:c r="K2" s="71"/>
      <x:c r="L2" s="71"/>
      <x:c r="M2" s="71"/>
      <x:c r="N2" s="71"/>
    </x:row>
    <x:row r="3">
      <x:c r="A3" s="73"/>
      <x:c r="B3" s="73"/>
      <x:c r="C3" s="73"/>
      <x:c r="D3" s="73"/>
      <x:c r="E3" s="73"/>
      <x:c r="F3" s="73"/>
      <x:c r="G3" s="73"/>
      <x:c r="H3" s="73"/>
      <x:c r="I3" s="73"/>
      <x:c r="J3" s="73"/>
      <x:c r="K3" s="73"/>
      <x:c r="L3" s="73"/>
      <x:c r="M3" s="73"/>
      <x:c r="N3" s="73"/>
    </x:row>
    <x:row r="4" ht="22" customHeight="1">
      <x:c r="A4" s="74" t="str">
        <x:v>Probability-Weighted Valuation</x:v>
      </x:c>
      <x:c r="B4" s="74"/>
      <x:c r="C4" s="74"/>
      <x:c r="D4" s="74"/>
      <x:c r="E4" s="73"/>
      <x:c r="F4" s="73"/>
      <x:c r="G4" s="73"/>
      <x:c r="H4" s="73"/>
      <x:c r="I4" s="73"/>
      <x:c r="J4" s="73"/>
      <x:c r="K4" s="73"/>
      <x:c r="L4" s="73"/>
      <x:c r="M4" s="73"/>
      <x:c r="N4" s="73"/>
    </x:row>
    <x:row r="5">
      <x:c r="A5" s="159" t="str">
        <x:v>Case</x:v>
      </x:c>
      <x:c r="B5" s="160" t="str">
        <x:v>Probability</x:v>
      </x:c>
      <x:c r="C5" s="160" t="str">
        <x:v>Value / Share</x:v>
      </x:c>
      <x:c r="D5" s="161" t="str">
        <x:v>Weighted Value</x:v>
      </x:c>
      <x:c r="E5" s="73"/>
      <x:c r="F5" s="73"/>
      <x:c r="G5" s="73"/>
      <x:c r="H5" s="73"/>
      <x:c r="I5" s="73"/>
      <x:c r="J5" s="73"/>
      <x:c r="K5" s="73"/>
      <x:c r="L5" s="73"/>
      <x:c r="M5" s="73"/>
      <x:c r="N5" s="73"/>
    </x:row>
    <x:row r="6">
      <x:c r="A6" s="73" t="str">
        <x:v>Downside</x:v>
      </x:c>
      <x:c r="B6" s="204" t="n">
        <x:v>0.25</x:v>
      </x:c>
      <x:c r="C6" s="203" t="n">
        <x:f>'DCF Model'!$B$76</x:f>
        <x:v>32.06475076030094</x:v>
      </x:c>
      <x:c r="D6" s="203" t="n">
        <x:f>B6*C6</x:f>
        <x:v>8.016187690075235</x:v>
      </x:c>
      <x:c r="E6" s="73"/>
      <x:c r="F6" s="73"/>
      <x:c r="G6" s="73"/>
      <x:c r="H6" s="73"/>
      <x:c r="I6" s="73"/>
      <x:c r="J6" s="73"/>
      <x:c r="K6" s="73"/>
      <x:c r="L6" s="73"/>
      <x:c r="M6" s="73"/>
      <x:c r="N6" s="73"/>
    </x:row>
    <x:row r="7">
      <x:c r="A7" s="73" t="str">
        <x:v>Base</x:v>
      </x:c>
      <x:c r="B7" s="204" t="n">
        <x:v>0.55</x:v>
      </x:c>
      <x:c r="C7" s="203" t="n">
        <x:f>'DCF Model'!$B$36</x:f>
        <x:v>70.2639913662316</x:v>
      </x:c>
      <x:c r="D7" s="203" t="n">
        <x:f>B7*C7</x:f>
        <x:v>38.64519525142738</x:v>
      </x:c>
      <x:c r="E7" s="73"/>
      <x:c r="F7" s="73"/>
      <x:c r="G7" s="73"/>
      <x:c r="H7" s="73"/>
      <x:c r="I7" s="73"/>
      <x:c r="J7" s="73"/>
      <x:c r="K7" s="73"/>
      <x:c r="L7" s="73"/>
      <x:c r="M7" s="73"/>
      <x:c r="N7" s="73"/>
    </x:row>
    <x:row r="8">
      <x:c r="A8" s="73" t="str">
        <x:v>Upside</x:v>
      </x:c>
      <x:c r="B8" s="204" t="n">
        <x:v>0.2</x:v>
      </x:c>
      <x:c r="C8" s="203" t="n">
        <x:f>'DCF Model'!$B$116</x:f>
        <x:v>141.8900935105911</x:v>
      </x:c>
      <x:c r="D8" s="203" t="n">
        <x:f>B8*C8</x:f>
        <x:v>28.378018702118222</x:v>
      </x:c>
      <x:c r="E8" s="73"/>
      <x:c r="F8" s="73"/>
      <x:c r="G8" s="73"/>
      <x:c r="H8" s="73"/>
      <x:c r="I8" s="73"/>
      <x:c r="J8" s="73"/>
      <x:c r="K8" s="73"/>
      <x:c r="L8" s="73"/>
      <x:c r="M8" s="73"/>
      <x:c r="N8" s="73"/>
    </x:row>
    <x:row r="9">
      <x:c r="A9" s="176" t="str">
        <x:v>Probability-Weighted</x:v>
      </x:c>
      <x:c r="B9" s="222" t="n">
        <x:f>SUM(B6:B8)</x:f>
        <x:v>1</x:v>
      </x:c>
      <x:c r="C9" s="223"/>
      <x:c r="D9" s="223" t="n">
        <x:f>SUM(D6:D8)</x:f>
        <x:v>75.03940164362083</x:v>
      </x:c>
      <x:c r="E9" s="73"/>
      <x:c r="F9" s="73"/>
      <x:c r="G9" s="73"/>
      <x:c r="H9" s="73"/>
      <x:c r="I9" s="73"/>
      <x:c r="J9" s="73"/>
      <x:c r="K9" s="73"/>
      <x:c r="L9" s="73"/>
      <x:c r="M9" s="73"/>
      <x:c r="N9" s="73"/>
    </x:row>
    <x:row r="10">
      <x:c r="A10" s="73"/>
      <x:c r="B10" s="73"/>
      <x:c r="C10" s="73"/>
      <x:c r="D10" s="73"/>
      <x:c r="E10" s="73"/>
      <x:c r="F10" s="73"/>
      <x:c r="G10" s="73"/>
      <x:c r="H10" s="73"/>
      <x:c r="I10" s="73"/>
      <x:c r="J10" s="73"/>
      <x:c r="K10" s="73"/>
      <x:c r="L10" s="73"/>
      <x:c r="M10" s="73"/>
      <x:c r="N10" s="73"/>
    </x:row>
    <x:row r="11">
      <x:c r="A11" s="73"/>
      <x:c r="B11" s="73"/>
      <x:c r="C11" s="73"/>
      <x:c r="D11" s="73"/>
      <x:c r="E11" s="73"/>
      <x:c r="F11" s="73"/>
      <x:c r="G11" s="73"/>
      <x:c r="H11" s="73"/>
      <x:c r="I11" s="73"/>
      <x:c r="J11" s="73"/>
      <x:c r="K11" s="73"/>
      <x:c r="L11" s="73"/>
      <x:c r="M11" s="73"/>
      <x:c r="N11" s="73"/>
    </x:row>
    <x:row r="12" ht="22" customHeight="1">
      <x:c r="A12" s="74" t="str">
        <x:v>Base Value / Share: WACC vs Terminal Growth</x:v>
      </x:c>
      <x:c r="B12" s="74"/>
      <x:c r="C12" s="74"/>
      <x:c r="D12" s="74"/>
      <x:c r="E12" s="74"/>
      <x:c r="F12" s="74"/>
      <x:c r="G12" s="73"/>
      <x:c r="H12" s="73"/>
      <x:c r="I12" s="73"/>
      <x:c r="J12" s="73"/>
      <x:c r="K12" s="73"/>
      <x:c r="L12" s="73"/>
      <x:c r="M12" s="73"/>
      <x:c r="N12" s="73"/>
    </x:row>
    <x:row r="13">
      <x:c r="A13" s="159" t="str">
        <x:v>WACC / TGR</x:v>
      </x:c>
      <x:c r="B13" s="224" t="n">
        <x:v>0.0225</x:v>
      </x:c>
      <x:c r="C13" s="224" t="n">
        <x:v>0.0275</x:v>
      </x:c>
      <x:c r="D13" s="224" t="n">
        <x:v>0.0325</x:v>
      </x:c>
      <x:c r="E13" s="224" t="n">
        <x:v>0.0375</x:v>
      </x:c>
      <x:c r="F13" s="225" t="n">
        <x:v>0.0425</x:v>
      </x:c>
      <x:c r="G13" s="73"/>
      <x:c r="H13" s="73"/>
      <x:c r="I13" s="73"/>
      <x:c r="J13" s="73"/>
      <x:c r="K13" s="73"/>
      <x:c r="L13" s="73"/>
      <x:c r="M13" s="73"/>
      <x:c r="N13" s="73"/>
    </x:row>
    <x:row r="14">
      <x:c r="A14" s="226" t="n">
        <x:v>0.088</x:v>
      </x:c>
      <x:c r="B14" s="203" t="n">
        <x:f>(('DCF Model'!B$22/(1+$A14)^0.5+'DCF Model'!C$22/(1+$A14)^1.5+'DCF Model'!D$22/(1+$A14)^2.5+'DCF Model'!E$22/(1+$A14)^3.5+'DCF Model'!F$22/(1+$A14)^4.5+'DCF Model'!G$22/(1+$A14)^5.5+'DCF Model'!H$22/(1+$A14)^6.5+'DCF Model'!I$22/(1+$A14)^7.5+'DCF Model'!J$22/(1+$A14)^8.5+'DCF Model'!K$22/(1+$A14)^9.5)+'DCF Model'!$K$22*(1+B$13)/($A14-B$13)/(1+$A14)^10+'Assumptions'!$E$43)/'Assumptions'!$E$42</x:f>
        <x:v>74.93557016023392</x:v>
      </x:c>
      <x:c r="C14" s="203" t="n">
        <x:f>(('DCF Model'!B$22/(1+$A14)^0.5+'DCF Model'!C$22/(1+$A14)^1.5+'DCF Model'!D$22/(1+$A14)^2.5+'DCF Model'!E$22/(1+$A14)^3.5+'DCF Model'!F$22/(1+$A14)^4.5+'DCF Model'!G$22/(1+$A14)^5.5+'DCF Model'!H$22/(1+$A14)^6.5+'DCF Model'!I$22/(1+$A14)^7.5+'DCF Model'!J$22/(1+$A14)^8.5+'DCF Model'!K$22/(1+$A14)^9.5)+'DCF Model'!$K$22*(1+C$13)/($A14-C$13)/(1+$A14)^10+'Assumptions'!$E$43)/'Assumptions'!$E$42</x:f>
        <x:v>78.96239062296236</x:v>
      </x:c>
      <x:c r="D14" s="203" t="n">
        <x:f>(('DCF Model'!B$22/(1+$A14)^0.5+'DCF Model'!C$22/(1+$A14)^1.5+'DCF Model'!D$22/(1+$A14)^2.5+'DCF Model'!E$22/(1+$A14)^3.5+'DCF Model'!F$22/(1+$A14)^4.5+'DCF Model'!G$22/(1+$A14)^5.5+'DCF Model'!H$22/(1+$A14)^6.5+'DCF Model'!I$22/(1+$A14)^7.5+'DCF Model'!J$22/(1+$A14)^8.5+'DCF Model'!K$22/(1+$A14)^9.5)+'DCF Model'!$K$22*(1+D$13)/($A14-D$13)/(1+$A14)^10+'Assumptions'!$E$43)/'Assumptions'!$E$42</x:f>
        <x:v>83.71476432221841</x:v>
      </x:c>
      <x:c r="E14" s="203" t="n">
        <x:f>(('DCF Model'!B$22/(1+$A14)^0.5+'DCF Model'!C$22/(1+$A14)^1.5+'DCF Model'!D$22/(1+$A14)^2.5+'DCF Model'!E$22/(1+$A14)^3.5+'DCF Model'!F$22/(1+$A14)^4.5+'DCF Model'!G$22/(1+$A14)^5.5+'DCF Model'!H$22/(1+$A14)^6.5+'DCF Model'!I$22/(1+$A14)^7.5+'DCF Model'!J$22/(1+$A14)^8.5+'DCF Model'!K$22/(1+$A14)^9.5)+'DCF Model'!$K$22*(1+E$13)/($A14-E$13)/(1+$A14)^10+'Assumptions'!$E$43)/'Assumptions'!$E$42</x:f>
        <x:v>89.4082021203371</x:v>
      </x:c>
      <x:c r="F14" s="203" t="n">
        <x:f>(('DCF Model'!B$22/(1+$A14)^0.5+'DCF Model'!C$22/(1+$A14)^1.5+'DCF Model'!D$22/(1+$A14)^2.5+'DCF Model'!E$22/(1+$A14)^3.5+'DCF Model'!F$22/(1+$A14)^4.5+'DCF Model'!G$22/(1+$A14)^5.5+'DCF Model'!H$22/(1+$A14)^6.5+'DCF Model'!I$22/(1+$A14)^7.5+'DCF Model'!J$22/(1+$A14)^8.5+'DCF Model'!K$22/(1+$A14)^9.5)+'DCF Model'!$K$22*(1+F$13)/($A14-F$13)/(1+$A14)^10+'Assumptions'!$E$43)/'Assumptions'!$E$42</x:f>
        <x:v>96.35294492903127</x:v>
      </x:c>
      <x:c r="G14" s="73"/>
      <x:c r="H14" s="73"/>
      <x:c r="I14" s="73"/>
      <x:c r="J14" s="73"/>
      <x:c r="K14" s="73"/>
      <x:c r="L14" s="73"/>
      <x:c r="M14" s="73"/>
      <x:c r="N14" s="73"/>
    </x:row>
    <x:row r="15">
      <x:c r="A15" s="227" t="n">
        <x:v>0.093</x:v>
      </x:c>
      <x:c r="B15" s="203" t="n">
        <x:f>(('DCF Model'!B$22/(1+$A15)^0.5+'DCF Model'!C$22/(1+$A15)^1.5+'DCF Model'!D$22/(1+$A15)^2.5+'DCF Model'!E$22/(1+$A15)^3.5+'DCF Model'!F$22/(1+$A15)^4.5+'DCF Model'!G$22/(1+$A15)^5.5+'DCF Model'!H$22/(1+$A15)^6.5+'DCF Model'!I$22/(1+$A15)^7.5+'DCF Model'!J$22/(1+$A15)^8.5+'DCF Model'!K$22/(1+$A15)^9.5)+'DCF Model'!$K$22*(1+B$13)/($A15-B$13)/(1+$A15)^10+'Assumptions'!$E$43)/'Assumptions'!$E$42</x:f>
        <x:v>69.21962354013601</x:v>
      </x:c>
      <x:c r="C15" s="203" t="n">
        <x:f>(('DCF Model'!B$22/(1+$A15)^0.5+'DCF Model'!C$22/(1+$A15)^1.5+'DCF Model'!D$22/(1+$A15)^2.5+'DCF Model'!E$22/(1+$A15)^3.5+'DCF Model'!F$22/(1+$A15)^4.5+'DCF Model'!G$22/(1+$A15)^5.5+'DCF Model'!H$22/(1+$A15)^6.5+'DCF Model'!I$22/(1+$A15)^7.5+'DCF Model'!J$22/(1+$A15)^8.5+'DCF Model'!K$22/(1+$A15)^9.5)+'DCF Model'!$K$22*(1+C$13)/($A15-C$13)/(1+$A15)^10+'Assumptions'!$E$43)/'Assumptions'!$E$42</x:f>
        <x:v>72.5355670644781</x:v>
      </x:c>
      <x:c r="D15" s="203" t="n">
        <x:f>(('DCF Model'!B$22/(1+$A15)^0.5+'DCF Model'!C$22/(1+$A15)^1.5+'DCF Model'!D$22/(1+$A15)^2.5+'DCF Model'!E$22/(1+$A15)^3.5+'DCF Model'!F$22/(1+$A15)^4.5+'DCF Model'!G$22/(1+$A15)^5.5+'DCF Model'!H$22/(1+$A15)^6.5+'DCF Model'!I$22/(1+$A15)^7.5+'DCF Model'!J$22/(1+$A15)^8.5+'DCF Model'!K$22/(1+$A15)^9.5)+'DCF Model'!$K$22*(1+D$13)/($A15-D$13)/(1+$A15)^10+'Assumptions'!$E$43)/'Assumptions'!$E$42</x:f>
        <x:v>76.3996004275544</x:v>
      </x:c>
      <x:c r="E15" s="203" t="n">
        <x:f>(('DCF Model'!B$22/(1+$A15)^0.5+'DCF Model'!C$22/(1+$A15)^1.5+'DCF Model'!D$22/(1+$A15)^2.5+'DCF Model'!E$22/(1+$A15)^3.5+'DCF Model'!F$22/(1+$A15)^4.5+'DCF Model'!G$22/(1+$A15)^5.5+'DCF Model'!H$22/(1+$A15)^6.5+'DCF Model'!I$22/(1+$A15)^7.5+'DCF Model'!J$22/(1+$A15)^8.5+'DCF Model'!K$22/(1+$A15)^9.5)+'DCF Model'!$K$22*(1+E$13)/($A15-E$13)/(1+$A15)^10+'Assumptions'!$E$43)/'Assumptions'!$E$42</x:f>
        <x:v>80.95985601821204</x:v>
      </x:c>
      <x:c r="F15" s="203" t="n">
        <x:f>(('DCF Model'!B$22/(1+$A15)^0.5+'DCF Model'!C$22/(1+$A15)^1.5+'DCF Model'!D$22/(1+$A15)^2.5+'DCF Model'!E$22/(1+$A15)^3.5+'DCF Model'!F$22/(1+$A15)^4.5+'DCF Model'!G$22/(1+$A15)^5.5+'DCF Model'!H$22/(1+$A15)^6.5+'DCF Model'!I$22/(1+$A15)^7.5+'DCF Model'!J$22/(1+$A15)^8.5+'DCF Model'!K$22/(1+$A15)^9.5)+'DCF Model'!$K$22*(1+F$13)/($A15-F$13)/(1+$A15)^10+'Assumptions'!$E$43)/'Assumptions'!$E$42</x:f>
        <x:v>86.42313251791079</x:v>
      </x:c>
      <x:c r="G15" s="73"/>
      <x:c r="H15" s="73"/>
      <x:c r="I15" s="73"/>
      <x:c r="J15" s="73"/>
      <x:c r="K15" s="73"/>
      <x:c r="L15" s="73"/>
      <x:c r="M15" s="73"/>
      <x:c r="N15" s="73"/>
    </x:row>
    <x:row r="16">
      <x:c r="A16" s="227" t="n">
        <x:v>0.098</x:v>
      </x:c>
      <x:c r="B16" s="203" t="n">
        <x:f>(('DCF Model'!B$22/(1+$A16)^0.5+'DCF Model'!C$22/(1+$A16)^1.5+'DCF Model'!D$22/(1+$A16)^2.5+'DCF Model'!E$22/(1+$A16)^3.5+'DCF Model'!F$22/(1+$A16)^4.5+'DCF Model'!G$22/(1+$A16)^5.5+'DCF Model'!H$22/(1+$A16)^6.5+'DCF Model'!I$22/(1+$A16)^7.5+'DCF Model'!J$22/(1+$A16)^8.5+'DCF Model'!K$22/(1+$A16)^9.5)+'DCF Model'!$K$22*(1+B$13)/($A16-B$13)/(1+$A16)^10+'Assumptions'!$E$43)/'Assumptions'!$E$42</x:f>
        <x:v>64.29441863904987</x:v>
      </x:c>
      <x:c r="C16" s="203" t="n">
        <x:f>(('DCF Model'!B$22/(1+$A16)^0.5+'DCF Model'!C$22/(1+$A16)^1.5+'DCF Model'!D$22/(1+$A16)^2.5+'DCF Model'!E$22/(1+$A16)^3.5+'DCF Model'!F$22/(1+$A16)^4.5+'DCF Model'!G$22/(1+$A16)^5.5+'DCF Model'!H$22/(1+$A16)^6.5+'DCF Model'!I$22/(1+$A16)^7.5+'DCF Model'!J$22/(1+$A16)^8.5+'DCF Model'!K$22/(1+$A16)^9.5)+'DCF Model'!$K$22*(1+C$13)/($A16-C$13)/(1+$A16)^10+'Assumptions'!$E$43)/'Assumptions'!$E$42</x:f>
        <x:v>67.0553897985396</x:v>
      </x:c>
      <x:c r="D16" s="228" t="n">
        <x:f>(('DCF Model'!B$22/(1+$A16)^0.5+'DCF Model'!C$22/(1+$A16)^1.5+'DCF Model'!D$22/(1+$A16)^2.5+'DCF Model'!E$22/(1+$A16)^3.5+'DCF Model'!F$22/(1+$A16)^4.5+'DCF Model'!G$22/(1+$A16)^5.5+'DCF Model'!H$22/(1+$A16)^6.5+'DCF Model'!I$22/(1+$A16)^7.5+'DCF Model'!J$22/(1+$A16)^8.5+'DCF Model'!K$22/(1+$A16)^9.5)+'DCF Model'!$K$22*(1+D$13)/($A16-D$13)/(1+$A16)^10+'Assumptions'!$E$43)/'Assumptions'!$E$42</x:f>
        <x:v>70.23788327245522</x:v>
      </x:c>
      <x:c r="E16" s="203" t="n">
        <x:f>(('DCF Model'!B$22/(1+$A16)^0.5+'DCF Model'!C$22/(1+$A16)^1.5+'DCF Model'!D$22/(1+$A16)^2.5+'DCF Model'!E$22/(1+$A16)^3.5+'DCF Model'!F$22/(1+$A16)^4.5+'DCF Model'!G$22/(1+$A16)^5.5+'DCF Model'!H$22/(1+$A16)^6.5+'DCF Model'!I$22/(1+$A16)^7.5+'DCF Model'!J$22/(1+$A16)^8.5+'DCF Model'!K$22/(1+$A16)^9.5)+'DCF Model'!$K$22*(1+E$13)/($A16-E$13)/(1+$A16)^10+'Assumptions'!$E$43)/'Assumptions'!$E$42</x:f>
        <x:v>73.94640872553046</x:v>
      </x:c>
      <x:c r="F16" s="203" t="n">
        <x:f>(('DCF Model'!B$22/(1+$A16)^0.5+'DCF Model'!C$22/(1+$A16)^1.5+'DCF Model'!D$22/(1+$A16)^2.5+'DCF Model'!E$22/(1+$A16)^3.5+'DCF Model'!F$22/(1+$A16)^4.5+'DCF Model'!G$22/(1+$A16)^5.5+'DCF Model'!H$22/(1+$A16)^6.5+'DCF Model'!I$22/(1+$A16)^7.5+'DCF Model'!J$22/(1+$A16)^8.5+'DCF Model'!K$22/(1+$A16)^9.5)+'DCF Model'!$K$22*(1+F$13)/($A16-F$13)/(1+$A16)^10+'Assumptions'!$E$43)/'Assumptions'!$E$42</x:f>
        <x:v>78.32313696294356</x:v>
      </x:c>
      <x:c r="G16" s="73"/>
      <x:c r="H16" s="73"/>
      <x:c r="I16" s="73"/>
      <x:c r="J16" s="73"/>
      <x:c r="K16" s="73"/>
      <x:c r="L16" s="73"/>
      <x:c r="M16" s="73"/>
      <x:c r="N16" s="73"/>
    </x:row>
    <x:row r="17">
      <x:c r="A17" s="227" t="n">
        <x:v>0.103</x:v>
      </x:c>
      <x:c r="B17" s="203" t="n">
        <x:f>(('DCF Model'!B$22/(1+$A17)^0.5+'DCF Model'!C$22/(1+$A17)^1.5+'DCF Model'!D$22/(1+$A17)^2.5+'DCF Model'!E$22/(1+$A17)^3.5+'DCF Model'!F$22/(1+$A17)^4.5+'DCF Model'!G$22/(1+$A17)^5.5+'DCF Model'!H$22/(1+$A17)^6.5+'DCF Model'!I$22/(1+$A17)^7.5+'DCF Model'!J$22/(1+$A17)^8.5+'DCF Model'!K$22/(1+$A17)^9.5)+'DCF Model'!$K$22*(1+B$13)/($A17-B$13)/(1+$A17)^10+'Assumptions'!$E$43)/'Assumptions'!$E$42</x:f>
        <x:v>60.01120514846745</x:v>
      </x:c>
      <x:c r="C17" s="203" t="n">
        <x:f>(('DCF Model'!B$22/(1+$A17)^0.5+'DCF Model'!C$22/(1+$A17)^1.5+'DCF Model'!D$22/(1+$A17)^2.5+'DCF Model'!E$22/(1+$A17)^3.5+'DCF Model'!F$22/(1+$A17)^4.5+'DCF Model'!G$22/(1+$A17)^5.5+'DCF Model'!H$22/(1+$A17)^6.5+'DCF Model'!I$22/(1+$A17)^7.5+'DCF Model'!J$22/(1+$A17)^8.5+'DCF Model'!K$22/(1+$A17)^9.5)+'DCF Model'!$K$22*(1+C$13)/($A17-C$13)/(1+$A17)^10+'Assumptions'!$E$43)/'Assumptions'!$E$42</x:f>
        <x:v>62.33231960133822</x:v>
      </x:c>
      <x:c r="D17" s="203" t="n">
        <x:f>(('DCF Model'!B$22/(1+$A17)^0.5+'DCF Model'!C$22/(1+$A17)^1.5+'DCF Model'!D$22/(1+$A17)^2.5+'DCF Model'!E$22/(1+$A17)^3.5+'DCF Model'!F$22/(1+$A17)^4.5+'DCF Model'!G$22/(1+$A17)^5.5+'DCF Model'!H$22/(1+$A17)^6.5+'DCF Model'!I$22/(1+$A17)^7.5+'DCF Model'!J$22/(1+$A17)^8.5+'DCF Model'!K$22/(1+$A17)^9.5)+'DCF Model'!$K$22*(1+D$13)/($A17-D$13)/(1+$A17)^10+'Assumptions'!$E$43)/'Assumptions'!$E$42</x:f>
        <x:v>64.98267014681478</x:v>
      </x:c>
      <x:c r="E17" s="203" t="n">
        <x:f>(('DCF Model'!B$22/(1+$A17)^0.5+'DCF Model'!C$22/(1+$A17)^1.5+'DCF Model'!D$22/(1+$A17)^2.5+'DCF Model'!E$22/(1+$A17)^3.5+'DCF Model'!F$22/(1+$A17)^4.5+'DCF Model'!G$22/(1+$A17)^5.5+'DCF Model'!H$22/(1+$A17)^6.5+'DCF Model'!I$22/(1+$A17)^7.5+'DCF Model'!J$22/(1+$A17)^8.5+'DCF Model'!K$22/(1+$A17)^9.5)+'DCF Model'!$K$22*(1+E$13)/($A17-E$13)/(1+$A17)^10+'Assumptions'!$E$43)/'Assumptions'!$E$42</x:f>
        <x:v>68.03765436335647</x:v>
      </x:c>
      <x:c r="F17" s="203" t="n">
        <x:f>(('DCF Model'!B$22/(1+$A17)^0.5+'DCF Model'!C$22/(1+$A17)^1.5+'DCF Model'!D$22/(1+$A17)^2.5+'DCF Model'!E$22/(1+$A17)^3.5+'DCF Model'!F$22/(1+$A17)^4.5+'DCF Model'!G$22/(1+$A17)^5.5+'DCF Model'!H$22/(1+$A17)^6.5+'DCF Model'!I$22/(1+$A17)^7.5+'DCF Model'!J$22/(1+$A17)^8.5+'DCF Model'!K$22/(1+$A17)^9.5)+'DCF Model'!$K$22*(1+F$13)/($A17-F$13)/(1+$A17)^10+'Assumptions'!$E$43)/'Assumptions'!$E$42</x:f>
        <x:v>71.59759464874803</x:v>
      </x:c>
      <x:c r="G17" s="73"/>
      <x:c r="H17" s="73"/>
      <x:c r="I17" s="73"/>
      <x:c r="J17" s="73"/>
      <x:c r="K17" s="73"/>
      <x:c r="L17" s="73"/>
      <x:c r="M17" s="73"/>
      <x:c r="N17" s="73"/>
    </x:row>
    <x:row r="18">
      <x:c r="A18" s="229" t="n">
        <x:v>0.108</x:v>
      </x:c>
      <x:c r="B18" s="203" t="n">
        <x:f>(('DCF Model'!B$22/(1+$A18)^0.5+'DCF Model'!C$22/(1+$A18)^1.5+'DCF Model'!D$22/(1+$A18)^2.5+'DCF Model'!E$22/(1+$A18)^3.5+'DCF Model'!F$22/(1+$A18)^4.5+'DCF Model'!G$22/(1+$A18)^5.5+'DCF Model'!H$22/(1+$A18)^6.5+'DCF Model'!I$22/(1+$A18)^7.5+'DCF Model'!J$22/(1+$A18)^8.5+'DCF Model'!K$22/(1+$A18)^9.5)+'DCF Model'!$K$22*(1+B$13)/($A18-B$13)/(1+$A18)^10+'Assumptions'!$E$43)/'Assumptions'!$E$42</x:f>
        <x:v>56.25609888794218</x:v>
      </x:c>
      <x:c r="C18" s="203" t="n">
        <x:f>(('DCF Model'!B$22/(1+$A18)^0.5+'DCF Model'!C$22/(1+$A18)^1.5+'DCF Model'!D$22/(1+$A18)^2.5+'DCF Model'!E$22/(1+$A18)^3.5+'DCF Model'!F$22/(1+$A18)^4.5+'DCF Model'!G$22/(1+$A18)^5.5+'DCF Model'!H$22/(1+$A18)^6.5+'DCF Model'!I$22/(1+$A18)^7.5+'DCF Model'!J$22/(1+$A18)^8.5+'DCF Model'!K$22/(1+$A18)^9.5)+'DCF Model'!$K$22*(1+C$13)/($A18-C$13)/(1+$A18)^10+'Assumptions'!$E$43)/'Assumptions'!$E$42</x:f>
        <x:v>58.22398137656976</x:v>
      </x:c>
      <x:c r="D18" s="203" t="n">
        <x:f>(('DCF Model'!B$22/(1+$A18)^0.5+'DCF Model'!C$22/(1+$A18)^1.5+'DCF Model'!D$22/(1+$A18)^2.5+'DCF Model'!E$22/(1+$A18)^3.5+'DCF Model'!F$22/(1+$A18)^4.5+'DCF Model'!G$22/(1+$A18)^5.5+'DCF Model'!H$22/(1+$A18)^6.5+'DCF Model'!I$22/(1+$A18)^7.5+'DCF Model'!J$22/(1+$A18)^8.5+'DCF Model'!K$22/(1+$A18)^9.5)+'DCF Model'!$K$22*(1+D$13)/($A18-D$13)/(1+$A18)^10+'Assumptions'!$E$43)/'Assumptions'!$E$42</x:f>
        <x:v>60.45251055243279</x:v>
      </x:c>
      <x:c r="E18" s="203" t="n">
        <x:f>(('DCF Model'!B$22/(1+$A18)^0.5+'DCF Model'!C$22/(1+$A18)^1.5+'DCF Model'!D$22/(1+$A18)^2.5+'DCF Model'!E$22/(1+$A18)^3.5+'DCF Model'!F$22/(1+$A18)^4.5+'DCF Model'!G$22/(1+$A18)^5.5+'DCF Model'!H$22/(1+$A18)^6.5+'DCF Model'!I$22/(1+$A18)^7.5+'DCF Model'!J$22/(1+$A18)^8.5+'DCF Model'!K$22/(1+$A18)^9.5)+'DCF Model'!$K$22*(1+E$13)/($A18-E$13)/(1+$A18)^10+'Assumptions'!$E$43)/'Assumptions'!$E$42</x:f>
        <x:v>62.99714315749626</x:v>
      </x:c>
      <x:c r="F18" s="203" t="n">
        <x:f>(('DCF Model'!B$22/(1+$A18)^0.5+'DCF Model'!C$22/(1+$A18)^1.5+'DCF Model'!D$22/(1+$A18)^2.5+'DCF Model'!E$22/(1+$A18)^3.5+'DCF Model'!F$22/(1+$A18)^4.5+'DCF Model'!G$22/(1+$A18)^5.5+'DCF Model'!H$22/(1+$A18)^6.5+'DCF Model'!I$22/(1+$A18)^7.5+'DCF Model'!J$22/(1+$A18)^8.5+'DCF Model'!K$22/(1+$A18)^9.5)+'DCF Model'!$K$22*(1+F$13)/($A18-F$13)/(1+$A18)^10+'Assumptions'!$E$43)/'Assumptions'!$E$42</x:f>
        <x:v>65.93026929005032</x:v>
      </x:c>
      <x:c r="G18" s="73"/>
      <x:c r="H18" s="73"/>
      <x:c r="I18" s="73"/>
      <x:c r="J18" s="73"/>
      <x:c r="K18" s="73"/>
      <x:c r="L18" s="73"/>
      <x:c r="M18" s="73"/>
      <x:c r="N18" s="73"/>
    </x:row>
    <x:row r="19">
      <x:c r="A19" s="73"/>
      <x:c r="B19" s="73"/>
      <x:c r="C19" s="73"/>
      <x:c r="D19" s="73"/>
      <x:c r="E19" s="73"/>
      <x:c r="F19" s="73"/>
      <x:c r="G19" s="73"/>
      <x:c r="H19" s="73"/>
      <x:c r="I19" s="73"/>
      <x:c r="J19" s="73"/>
      <x:c r="K19" s="73"/>
      <x:c r="L19" s="73"/>
      <x:c r="M19" s="73"/>
      <x:c r="N19" s="73"/>
    </x:row>
    <x:row r="20">
      <x:c r="A20" s="73"/>
      <x:c r="B20" s="73"/>
      <x:c r="C20" s="73"/>
      <x:c r="D20" s="73"/>
      <x:c r="E20" s="73"/>
      <x:c r="F20" s="73"/>
      <x:c r="G20" s="73"/>
      <x:c r="H20" s="73"/>
      <x:c r="I20" s="73"/>
      <x:c r="J20" s="73"/>
      <x:c r="K20" s="73"/>
      <x:c r="L20" s="73"/>
      <x:c r="M20" s="73"/>
      <x:c r="N20" s="73"/>
    </x:row>
    <x:row r="21" ht="22" customHeight="1">
      <x:c r="A21" s="74" t="str">
        <x:v>Reverse DCF at $288.15</x:v>
      </x:c>
      <x:c r="B21" s="74"/>
      <x:c r="C21" s="74"/>
      <x:c r="D21" s="74"/>
      <x:c r="E21" s="74"/>
      <x:c r="F21" s="74"/>
      <x:c r="G21" s="74"/>
      <x:c r="H21" s="74"/>
      <x:c r="I21" s="74"/>
      <x:c r="J21" s="74"/>
      <x:c r="K21" s="74"/>
      <x:c r="L21" s="74"/>
      <x:c r="M21" s="74"/>
      <x:c r="N21" s="74"/>
    </x:row>
    <x:row r="22">
      <x:c r="A22" s="159" t="str">
        <x:v>Metric</x:v>
      </x:c>
      <x:c r="B22" s="161" t="str">
        <x:v>Value</x:v>
      </x:c>
      <x:c r="C22" s="73"/>
      <x:c r="D22" s="73"/>
      <x:c r="E22" s="159" t="n">
        <x:v>2026</x:v>
      </x:c>
      <x:c r="F22" s="160" t="n">
        <x:v>2027</x:v>
      </x:c>
      <x:c r="G22" s="160" t="n">
        <x:v>2028</x:v>
      </x:c>
      <x:c r="H22" s="160" t="n">
        <x:v>2029</x:v>
      </x:c>
      <x:c r="I22" s="160" t="n">
        <x:v>2030</x:v>
      </x:c>
      <x:c r="J22" s="160" t="n">
        <x:v>2031</x:v>
      </x:c>
      <x:c r="K22" s="160" t="n">
        <x:v>2032</x:v>
      </x:c>
      <x:c r="L22" s="160" t="n">
        <x:v>2033</x:v>
      </x:c>
      <x:c r="M22" s="160" t="n">
        <x:v>2034</x:v>
      </x:c>
      <x:c r="N22" s="161" t="n">
        <x:v>2035</x:v>
      </x:c>
    </x:row>
    <x:row r="23">
      <x:c r="A23" s="73" t="str">
        <x:v>Current Price</x:v>
      </x:c>
      <x:c r="B23" s="203" t="n">
        <x:f>'Assumptions'!$B$49</x:f>
        <x:v>288.15</x:v>
      </x:c>
      <x:c r="C23" s="73"/>
      <x:c r="D23" s="73" t="str">
        <x:v>Revenue Growth</x:v>
      </x:c>
      <x:c r="E23" s="204" t="n">
        <x:f>0.2605</x:f>
        <x:v>0.2605</x:v>
      </x:c>
      <x:c r="F23" s="204" t="n">
        <x:f>$B$25</x:f>
        <x:v>0.3064103977</x:v>
      </x:c>
      <x:c r="G23" s="204" t="n">
        <x:f>$B$25</x:f>
        <x:v>0.3064103977</x:v>
      </x:c>
      <x:c r="H23" s="204" t="n">
        <x:f>$B$25</x:f>
        <x:v>0.3064103977</x:v>
      </x:c>
      <x:c r="I23" s="204" t="n">
        <x:f>$B$25</x:f>
        <x:v>0.3064103977</x:v>
      </x:c>
      <x:c r="J23" s="204" t="n">
        <x:f>$B$25</x:f>
        <x:v>0.3064103977</x:v>
      </x:c>
      <x:c r="K23" s="204" t="n">
        <x:f>$B$25</x:f>
        <x:v>0.3064103977</x:v>
      </x:c>
      <x:c r="L23" s="204" t="n">
        <x:f>$B$25</x:f>
        <x:v>0.3064103977</x:v>
      </x:c>
      <x:c r="M23" s="204" t="n">
        <x:f>$B$25</x:f>
        <x:v>0.3064103977</x:v>
      </x:c>
      <x:c r="N23" s="204" t="n">
        <x:f>$B$25</x:f>
        <x:v>0.3064103977</x:v>
      </x:c>
    </x:row>
    <x:row r="24">
      <x:c r="A24" s="73" t="str">
        <x:v>Market-Implied Enterprise Value</x:v>
      </x:c>
      <x:c r="B24" s="192" t="n">
        <x:f>'Assumptions'!$E$45</x:f>
        <x:v>102392.74499999998</x:v>
      </x:c>
      <x:c r="C24" s="73"/>
      <x:c r="D24" s="73" t="str">
        <x:v>Revenue</x:v>
      </x:c>
      <x:c r="E24" s="192" t="n">
        <x:f>'Assumptions'!$H$39*(1+E23)</x:f>
        <x:v>4319.932659</x:v>
      </x:c>
      <x:c r="F24" s="192" t="n">
        <x:f>E24*(1+F23)</x:f>
        <x:v>5643.604943081409</x:v>
      </x:c>
      <x:c r="G24" s="192" t="n">
        <x:f>F24*(1+G23)</x:f>
        <x:v>7372.86417815267</x:v>
      </x:c>
      <x:c r="H24" s="192" t="n">
        <x:f>G24*(1+H23)</x:f>
        <x:v>9631.986423168515</x:v>
      </x:c>
      <x:c r="I24" s="192" t="n">
        <x:f>H24*(1+I23)</x:f>
        <x:v>12583.327213732582</x:v>
      </x:c>
      <x:c r="J24" s="192" t="n">
        <x:f>I24*(1+J23)</x:f>
        <x:v>16438.989509681618</x:v>
      </x:c>
      <x:c r="K24" s="192" t="n">
        <x:f>J24*(1+K23)</x:f>
        <x:v>21476.06682312929</x:v>
      </x:c>
      <x:c r="L24" s="192" t="n">
        <x:f>K24*(1+L23)</x:f>
        <x:v>28056.556999436114</x:v>
      </x:c>
      <x:c r="M24" s="192" t="n">
        <x:f>L24*(1+M23)</x:f>
        <x:v>36653.37778772606</x:v>
      </x:c>
      <x:c r="N24" s="192" t="n">
        <x:f>M24*(1+N23)</x:f>
        <x:v>47884.35385271155</x:v>
      </x:c>
    </x:row>
    <x:row r="25">
      <x:c r="A25" s="73" t="str">
        <x:v>Required 2027-35 Revenue Growth</x:v>
      </x:c>
      <x:c r="B25" s="163" t="n">
        <x:v>0.3064103977</x:v>
      </x:c>
      <x:c r="C25" s="73"/>
      <x:c r="D25" s="73" t="str">
        <x:v>EBIT Margin</x:v>
      </x:c>
      <x:c r="E25" s="204" t="n">
        <x:v>0.02</x:v>
      </x:c>
      <x:c r="F25" s="204" t="n">
        <x:v>0.06</x:v>
      </x:c>
      <x:c r="G25" s="204" t="n">
        <x:v>0.1</x:v>
      </x:c>
      <x:c r="H25" s="204" t="n">
        <x:v>0.15</x:v>
      </x:c>
      <x:c r="I25" s="204" t="n">
        <x:v>0.2</x:v>
      </x:c>
      <x:c r="J25" s="204" t="n">
        <x:v>0.24</x:v>
      </x:c>
      <x:c r="K25" s="204" t="n">
        <x:v>0.28</x:v>
      </x:c>
      <x:c r="L25" s="204" t="n">
        <x:v>0.31</x:v>
      </x:c>
      <x:c r="M25" s="204" t="n">
        <x:v>0.33</x:v>
      </x:c>
      <x:c r="N25" s="204" t="n">
        <x:v>0.35</x:v>
      </x:c>
    </x:row>
    <x:row r="26">
      <x:c r="A26" s="73" t="str">
        <x:v>Implied FY2035 Revenue</x:v>
      </x:c>
      <x:c r="B26" s="192" t="n">
        <x:f>'Assumptions'!$H$39*(1+0.2605)*(1+B25)^9</x:f>
        <x:v>47884.353852711545</x:v>
      </x:c>
      <x:c r="C26" s="73"/>
      <x:c r="D26" s="73" t="str">
        <x:v>EBIT</x:v>
      </x:c>
      <x:c r="E26" s="192" t="n">
        <x:f>E24*E25</x:f>
        <x:v>86.39865318</x:v>
      </x:c>
      <x:c r="F26" s="192" t="n">
        <x:f>F24*F25</x:f>
        <x:v>338.61629658488454</x:v>
      </x:c>
      <x:c r="G26" s="192" t="n">
        <x:f>G24*G25</x:f>
        <x:v>737.2864178152671</x:v>
      </x:c>
      <x:c r="H26" s="192" t="n">
        <x:f>H24*H25</x:f>
        <x:v>1444.7979634752771</x:v>
      </x:c>
      <x:c r="I26" s="192" t="n">
        <x:f>I24*I25</x:f>
        <x:v>2516.6654427465164</x:v>
      </x:c>
      <x:c r="J26" s="192" t="n">
        <x:f>J24*J25</x:f>
        <x:v>3945.357482323588</x:v>
      </x:c>
      <x:c r="K26" s="192" t="n">
        <x:f>K24*K25</x:f>
        <x:v>6013.298710476202</x:v>
      </x:c>
      <x:c r="L26" s="192" t="n">
        <x:f>L24*L25</x:f>
        <x:v>8697.532669825196</x:v>
      </x:c>
      <x:c r="M26" s="192" t="n">
        <x:f>M24*M25</x:f>
        <x:v>12095.6146699496</x:v>
      </x:c>
      <x:c r="N26" s="192" t="n">
        <x:f>N24*N25</x:f>
        <x:v>16759.523848449044</x:v>
      </x:c>
    </x:row>
    <x:row r="27">
      <x:c r="A27" s="73" t="str">
        <x:v>Assumed FY2035 EBIT Margin</x:v>
      </x:c>
      <x:c r="B27" s="162" t="n">
        <x:v>0.35</x:v>
      </x:c>
      <x:c r="C27" s="73"/>
      <x:c r="D27" s="73" t="str">
        <x:v>Cash Tax Rate</x:v>
      </x:c>
      <x:c r="E27" s="204" t="n">
        <x:v>0</x:v>
      </x:c>
      <x:c r="F27" s="204" t="n">
        <x:v>0</x:v>
      </x:c>
      <x:c r="G27" s="204" t="n">
        <x:v>0.1</x:v>
      </x:c>
      <x:c r="H27" s="204" t="n">
        <x:v>0.15</x:v>
      </x:c>
      <x:c r="I27" s="204" t="n">
        <x:v>0.2</x:v>
      </x:c>
      <x:c r="J27" s="204" t="n">
        <x:v>0.22</x:v>
      </x:c>
      <x:c r="K27" s="204" t="n">
        <x:v>0.24</x:v>
      </x:c>
      <x:c r="L27" s="204" t="n">
        <x:v>0.25</x:v>
      </x:c>
      <x:c r="M27" s="204" t="n">
        <x:v>0.25</x:v>
      </x:c>
      <x:c r="N27" s="204" t="n">
        <x:v>0.25</x:v>
      </x:c>
    </x:row>
    <x:row r="28">
      <x:c r="A28" s="73" t="str">
        <x:v>Reverse-DCF Enterprise Value</x:v>
      </x:c>
      <x:c r="B28" s="192" t="n">
        <x:f>SUM(E35:N35)+N34*(1+'Assumptions'!$B$48)/('Assumptions'!$B$47-'Assumptions'!$B$48)/(1+'Assumptions'!$B$47)^10</x:f>
        <x:v>102392.74498617544</x:v>
      </x:c>
      <x:c r="C28" s="73"/>
      <x:c r="D28" s="73" t="str">
        <x:v>Cash Taxes</x:v>
      </x:c>
      <x:c r="E28" s="192" t="n">
        <x:f>MAX(E26*E27,0)</x:f>
        <x:v>0</x:v>
      </x:c>
      <x:c r="F28" s="192" t="n">
        <x:f>MAX(F26*F27,0)</x:f>
        <x:v>0</x:v>
      </x:c>
      <x:c r="G28" s="192" t="n">
        <x:f>MAX(G26*G27,0)</x:f>
        <x:v>73.72864178152672</x:v>
      </x:c>
      <x:c r="H28" s="192" t="n">
        <x:f>MAX(H26*H27,0)</x:f>
        <x:v>216.71969452129156</x:v>
      </x:c>
      <x:c r="I28" s="192" t="n">
        <x:f>MAX(I26*I27,0)</x:f>
        <x:v>503.3330885493033</x:v>
      </x:c>
      <x:c r="J28" s="192" t="n">
        <x:f>MAX(J26*J27,0)</x:f>
        <x:v>867.9786461111894</x:v>
      </x:c>
      <x:c r="K28" s="192" t="n">
        <x:f>MAX(K26*K27,0)</x:f>
        <x:v>1443.1916905142884</x:v>
      </x:c>
      <x:c r="L28" s="192" t="n">
        <x:f>MAX(L26*L27,0)</x:f>
        <x:v>2174.383167456299</x:v>
      </x:c>
      <x:c r="M28" s="192" t="n">
        <x:f>MAX(M26*M27,0)</x:f>
        <x:v>3023.9036674874</x:v>
      </x:c>
      <x:c r="N28" s="192" t="n">
        <x:f>MAX(N26*N27,0)</x:f>
        <x:v>4189.880962112261</x:v>
      </x:c>
    </x:row>
    <x:row r="29">
      <x:c r="A29" s="73" t="str">
        <x:v>Difference vs Market EV</x:v>
      </x:c>
      <x:c r="B29" s="192" t="n">
        <x:f>B28-B24</x:f>
        <x:v>-0.000013824537745676935</x:v>
      </x:c>
      <x:c r="C29" s="73"/>
      <x:c r="D29" s="73" t="str">
        <x:v>NOPAT</x:v>
      </x:c>
      <x:c r="E29" s="192" t="n">
        <x:f>E26-E28</x:f>
        <x:v>86.39865318</x:v>
      </x:c>
      <x:c r="F29" s="192" t="n">
        <x:f>F26-F28</x:f>
        <x:v>338.61629658488454</x:v>
      </x:c>
      <x:c r="G29" s="192" t="n">
        <x:f>G26-G28</x:f>
        <x:v>663.5577760337404</x:v>
      </x:c>
      <x:c r="H29" s="192" t="n">
        <x:f>H26-H28</x:f>
        <x:v>1228.0782689539856</x:v>
      </x:c>
      <x:c r="I29" s="192" t="n">
        <x:f>I26-I28</x:f>
        <x:v>2013.3323541972131</x:v>
      </x:c>
      <x:c r="J29" s="192" t="n">
        <x:f>J26-J28</x:f>
        <x:v>3077.3788362123987</x:v>
      </x:c>
      <x:c r="K29" s="192" t="n">
        <x:f>K26-K28</x:f>
        <x:v>4570.1070199619135</x:v>
      </x:c>
      <x:c r="L29" s="192" t="n">
        <x:f>L26-L28</x:f>
        <x:v>6523.149502368897</x:v>
      </x:c>
      <x:c r="M29" s="192" t="n">
        <x:f>M26-M28</x:f>
        <x:v>9071.7110024622</x:v>
      </x:c>
      <x:c r="N29" s="192" t="n">
        <x:f>N26-N28</x:f>
        <x:v>12569.642886336784</x:v>
      </x:c>
    </x:row>
    <x:row r="30">
      <x:c r="A30" s="73"/>
      <x:c r="B30" s="73"/>
      <x:c r="C30" s="73"/>
      <x:c r="D30" s="73" t="str">
        <x:v>D&amp;A</x:v>
      </x:c>
      <x:c r="E30" s="192" t="n">
        <x:f>E24*'Assumptions'!B$9</x:f>
        <x:v>77.75878786199999</x:v>
      </x:c>
      <x:c r="F30" s="192" t="n">
        <x:f>F24*'Assumptions'!C$9</x:f>
        <x:v>107.22849391854677</x:v>
      </x:c>
      <x:c r="G30" s="192" t="n">
        <x:f>G24*'Assumptions'!D$9</x:f>
        <x:v>147.4572835630534</x:v>
      </x:c>
      <x:c r="H30" s="192" t="n">
        <x:f>H24*'Assumptions'!E$9</x:f>
        <x:v>202.27171488653883</x:v>
      </x:c>
      <x:c r="I30" s="192" t="n">
        <x:f>I24*'Assumptions'!F$9</x:f>
        <x:v>276.8331987021168</x:v>
      </x:c>
      <x:c r="J30" s="192" t="n">
        <x:f>J24*'Assumptions'!G$9</x:f>
        <x:v>361.65776921299556</x:v>
      </x:c>
      <x:c r="K30" s="192" t="n">
        <x:f>K24*'Assumptions'!H$9</x:f>
        <x:v>472.47347010884437</x:v>
      </x:c>
      <x:c r="L30" s="192" t="n">
        <x:f>L24*'Assumptions'!I$9</x:f>
        <x:v>617.2442539875944</x:v>
      </x:c>
      <x:c r="M30" s="192" t="n">
        <x:f>M24*'Assumptions'!J$9</x:f>
        <x:v>806.3743113299732</x:v>
      </x:c>
      <x:c r="N30" s="192" t="n">
        <x:f>N24*'Assumptions'!K$9</x:f>
        <x:v>1053.455784759654</x:v>
      </x:c>
    </x:row>
    <x:row r="31">
      <x:c r="A31" s="73"/>
      <x:c r="B31" s="73"/>
      <x:c r="C31" s="73"/>
      <x:c r="D31" s="73" t="str">
        <x:v>Capex</x:v>
      </x:c>
      <x:c r="E31" s="192" t="n">
        <x:f>E24*'Assumptions'!B$10</x:f>
        <x:v>194.396969655</x:v>
      </x:c>
      <x:c r="F31" s="192" t="n">
        <x:f>F24*'Assumptions'!C$10</x:f>
        <x:v>242.67501255250056</x:v>
      </x:c>
      <x:c r="G31" s="192" t="n">
        <x:f>G24*'Assumptions'!D$10</x:f>
        <x:v>302.2874313042595</x:v>
      </x:c>
      <x:c r="H31" s="192" t="n">
        <x:f>H24*'Assumptions'!E$10</x:f>
        <x:v>375.6474705035721</x:v>
      </x:c>
      <x:c r="I31" s="192" t="n">
        <x:f>I24*'Assumptions'!F$10</x:f>
        <x:v>478.1664341218381</x:v>
      </x:c>
      <x:c r="J31" s="192" t="n">
        <x:f>J24*'Assumptions'!G$10</x:f>
        <x:v>608.2426118582198</x:v>
      </x:c>
      <x:c r="K31" s="192" t="n">
        <x:f>K24*'Assumptions'!H$10</x:f>
        <x:v>773.1384056326544</x:v>
      </x:c>
      <x:c r="L31" s="192" t="n">
        <x:f>L24*'Assumptions'!I$10</x:f>
        <x:v>981.9794949802641</x:v>
      </x:c>
      <x:c r="M31" s="192" t="n">
        <x:f>M24*'Assumptions'!J$10</x:f>
        <x:v>1282.8682225704122</x:v>
      </x:c>
      <x:c r="N31" s="192" t="n">
        <x:f>N24*'Assumptions'!K$10</x:f>
        <x:v>1675.9523848449046</x:v>
      </x:c>
    </x:row>
    <x:row r="32">
      <x:c r="A32" s="73"/>
      <x:c r="B32" s="73"/>
      <x:c r="C32" s="73"/>
      <x:c r="D32" s="73" t="str">
        <x:v>Operating NWC</x:v>
      </x:c>
      <x:c r="E32" s="192" t="n">
        <x:f>E24*'Assumptions'!B$11</x:f>
        <x:v>-777.58787862</x:v>
      </x:c>
      <x:c r="F32" s="192" t="n">
        <x:f>F24*'Assumptions'!C$11</x:f>
        <x:v>-987.6308650392465</x:v>
      </x:c>
      <x:c r="G32" s="192" t="n">
        <x:f>G24*'Assumptions'!D$11</x:f>
        <x:v>-1253.386910285954</x:v>
      </x:c>
      <x:c r="H32" s="192" t="n">
        <x:f>H24*'Assumptions'!E$11</x:f>
        <x:v>-1589.2777598228051</x:v>
      </x:c>
      <x:c r="I32" s="192" t="n">
        <x:f>I24*'Assumptions'!F$11</x:f>
        <x:v>-2013.3323541972131</x:v>
      </x:c>
      <x:c r="J32" s="192" t="n">
        <x:f>J24*'Assumptions'!G$11</x:f>
        <x:v>-2465.8484264522426</x:v>
      </x:c>
      <x:c r="K32" s="192" t="n">
        <x:f>K24*'Assumptions'!H$11</x:f>
        <x:v>-3006.649355238101</x:v>
      </x:c>
      <x:c r="L32" s="192" t="n">
        <x:f>L24*'Assumptions'!I$11</x:f>
        <x:v>-3647.352409926695</x:v>
      </x:c>
      <x:c r="M32" s="192" t="n">
        <x:f>M24*'Assumptions'!J$11</x:f>
        <x:v>-4581.672223465757</x:v>
      </x:c>
      <x:c r="N32" s="192" t="n">
        <x:f>N24*'Assumptions'!K$11</x:f>
        <x:v>-5746.122462325386</x:v>
      </x:c>
    </x:row>
    <x:row r="33">
      <x:c r="A33" s="73"/>
      <x:c r="B33" s="73"/>
      <x:c r="C33" s="73"/>
      <x:c r="D33" s="73" t="str">
        <x:v>Change in NWC</x:v>
      </x:c>
      <x:c r="E33" s="192" t="n">
        <x:f>E32-'Assumptions'!$H$43</x:f>
        <x:v>-132.99987862</x:v>
      </x:c>
      <x:c r="F33" s="192" t="n">
        <x:f>F32-E32</x:f>
        <x:v>-210.04298641924652</x:v>
      </x:c>
      <x:c r="G33" s="192" t="n">
        <x:f>G32-F32</x:f>
        <x:v>-265.75604524670746</x:v>
      </x:c>
      <x:c r="H33" s="192" t="n">
        <x:f>H32-G32</x:f>
        <x:v>-335.8908495368512</x:v>
      </x:c>
      <x:c r="I33" s="192" t="n">
        <x:f>I32-H32</x:f>
        <x:v>-424.054594374408</x:v>
      </x:c>
      <x:c r="J33" s="192" t="n">
        <x:f>J32-I32</x:f>
        <x:v>-452.5160722550295</x:v>
      </x:c>
      <x:c r="K33" s="192" t="n">
        <x:f>K32-J32</x:f>
        <x:v>-540.8009287858586</x:v>
      </x:c>
      <x:c r="L33" s="192" t="n">
        <x:f>L32-K32</x:f>
        <x:v>-640.703054688594</x:v>
      </x:c>
      <x:c r="M33" s="192" t="n">
        <x:f>M32-L32</x:f>
        <x:v>-934.3198135390621</x:v>
      </x:c>
      <x:c r="N33" s="192" t="n">
        <x:f>N32-M32</x:f>
        <x:v>-1164.4502388596284</x:v>
      </x:c>
    </x:row>
    <x:row r="34">
      <x:c r="A34" s="73"/>
      <x:c r="B34" s="73"/>
      <x:c r="C34" s="73"/>
      <x:c r="D34" s="176" t="str">
        <x:v>FCFF</x:v>
      </x:c>
      <x:c r="E34" s="193" t="n">
        <x:f>E29+E30-E31-E33</x:f>
        <x:v>102.760350007</x:v>
      </x:c>
      <x:c r="F34" s="193" t="n">
        <x:f>F29+F30-F31-F33</x:f>
        <x:v>413.2127643701773</x:v>
      </x:c>
      <x:c r="G34" s="193" t="n">
        <x:f>G29+G30-G31-G33</x:f>
        <x:v>774.4836735392419</x:v>
      </x:c>
      <x:c r="H34" s="193" t="n">
        <x:f>H29+H30-H31-H33</x:f>
        <x:v>1390.5933628738035</x:v>
      </x:c>
      <x:c r="I34" s="193" t="n">
        <x:f>I29+I30-I31-I33</x:f>
        <x:v>2236.0537131519</x:v>
      </x:c>
      <x:c r="J34" s="193" t="n">
        <x:f>J29+J30-J31-J33</x:f>
        <x:v>3283.310065822204</x:v>
      </x:c>
      <x:c r="K34" s="193" t="n">
        <x:f>K29+K30-K31-K33</x:f>
        <x:v>4810.243013223962</x:v>
      </x:c>
      <x:c r="L34" s="193" t="n">
        <x:f>L29+L30-L31-L33</x:f>
        <x:v>6799.117316064821</x:v>
      </x:c>
      <x:c r="M34" s="193" t="n">
        <x:f>M29+M30-M31-M33</x:f>
        <x:v>9529.536904760822</x:v>
      </x:c>
      <x:c r="N34" s="193" t="n">
        <x:f>N29+N30-N31-N33</x:f>
        <x:v>13111.596525111161</x:v>
      </x:c>
    </x:row>
    <x:row r="35">
      <x:c r="A35" s="73"/>
      <x:c r="B35" s="73"/>
      <x:c r="C35" s="73"/>
      <x:c r="D35" s="73" t="str">
        <x:v>PV of FCFF</x:v>
      </x:c>
      <x:c r="E35" s="192" t="n">
        <x:f>E34/(1+'Assumptions'!$B$47)^0.5</x:f>
        <x:v>98.06836921230463</x:v>
      </x:c>
      <x:c r="F35" s="192" t="n">
        <x:f>F34/(1+'Assumptions'!$B$47)^1.5</x:f>
        <x:v>359.15661065346035</x:v>
      </x:c>
      <x:c r="G35" s="192" t="n">
        <x:f>G34/(1+'Assumptions'!$B$47)^2.5</x:f>
        <x:v>613.0969563565804</x:v>
      </x:c>
      <x:c r="H35" s="192" t="n">
        <x:f>H34/(1+'Assumptions'!$B$47)^3.5</x:f>
        <x:v>1002.5910017595288</x:v>
      </x:c>
      <x:c r="I35" s="192" t="n">
        <x:f>I34/(1+'Assumptions'!$B$47)^4.5</x:f>
        <x:v>1468.292698733387</x:v>
      </x:c>
      <x:c r="J35" s="192" t="n">
        <x:f>J34/(1+'Assumptions'!$B$47)^5.5</x:f>
        <x:v>1963.5820929047632</x:v>
      </x:c>
      <x:c r="K35" s="192" t="n">
        <x:f>K34/(1+'Assumptions'!$B$47)^6.5</x:f>
        <x:v>2620.0582054531565</x:v>
      </x:c>
      <x:c r="L35" s="192" t="n">
        <x:f>L34/(1+'Assumptions'!$B$47)^7.5</x:f>
        <x:v>3372.898047662463</x:v>
      </x:c>
      <x:c r="M35" s="192" t="n">
        <x:f>M34/(1+'Assumptions'!$B$47)^8.5</x:f>
        <x:v>4305.55590530524</x:v>
      </x:c>
      <x:c r="N35" s="192" t="n">
        <x:f>N34/(1+'Assumptions'!$B$47)^9.5</x:f>
        <x:v>5395.3518289639715</x:v>
      </x:c>
    </x:row>
    <x:row r="36">
      <x:c r="A36" s="73"/>
      <x:c r="B36" s="73"/>
      <x:c r="C36" s="73"/>
      <x:c r="D36" s="73"/>
      <x:c r="E36" s="73"/>
      <x:c r="F36" s="73"/>
      <x:c r="G36" s="73"/>
      <x:c r="H36" s="73"/>
      <x:c r="I36" s="73"/>
      <x:c r="J36" s="73"/>
      <x:c r="K36" s="73"/>
      <x:c r="L36" s="73"/>
      <x:c r="M36" s="73"/>
      <x:c r="N36" s="73"/>
    </x:row>
    <x:row r="37">
      <x:c r="A37" s="73"/>
      <x:c r="B37" s="73"/>
      <x:c r="C37" s="73"/>
      <x:c r="D37" s="73"/>
      <x:c r="E37" s="73"/>
      <x:c r="F37" s="73"/>
      <x:c r="G37" s="73"/>
      <x:c r="H37" s="73"/>
      <x:c r="I37" s="73"/>
      <x:c r="J37" s="73"/>
      <x:c r="K37" s="73"/>
      <x:c r="L37" s="73"/>
      <x:c r="M37" s="73"/>
      <x:c r="N37" s="73"/>
    </x:row>
    <x:row r="38">
      <x:c r="A38" s="73"/>
      <x:c r="B38" s="73"/>
      <x:c r="C38" s="73"/>
      <x:c r="D38" s="73"/>
      <x:c r="E38" s="73"/>
      <x:c r="F38" s="73"/>
      <x:c r="G38" s="73"/>
      <x:c r="H38" s="73"/>
      <x:c r="I38" s="73"/>
      <x:c r="J38" s="73"/>
      <x:c r="K38" s="73"/>
      <x:c r="L38" s="73"/>
      <x:c r="M38" s="73"/>
      <x:c r="N38" s="73"/>
    </x:row>
  </x:sheetData>
  <x:mergeCells>
    <x:mergeCell ref="A1:N2"/>
    <x:mergeCell ref="A4:D4"/>
    <x:mergeCell ref="A12:F12"/>
    <x:mergeCell ref="A21:N2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8" hidden="0" customWidth="1"/>
    <x:col min="2" max="2" width="16" hidden="0" customWidth="1"/>
    <x:col min="3" max="3" width="16" hidden="0" customWidth="1"/>
    <x:col min="4" max="4" width="16" hidden="0" customWidth="1"/>
    <x:col min="5" max="5" width="16" hidden="0" customWidth="1"/>
    <x:col min="6" max="6" width="16" hidden="0" customWidth="1"/>
    <x:col min="7" max="7" width="58" hidden="0" customWidth="1"/>
  </x:cols>
  <x:sheetData>
    <x:row r="1" ht="30" customHeight="1">
      <x:c r="A1" s="71" t="str">
        <x:v>Model Checks</x:v>
      </x:c>
      <x:c r="B1" s="71"/>
      <x:c r="C1" s="71"/>
      <x:c r="D1" s="71"/>
      <x:c r="E1" s="71"/>
      <x:c r="F1" s="71"/>
      <x:c r="G1" s="71"/>
    </x:row>
    <x:row r="2" ht="30" customHeight="1">
      <x:c r="A2" s="71"/>
      <x:c r="B2" s="71"/>
      <x:c r="C2" s="71"/>
      <x:c r="D2" s="71"/>
      <x:c r="E2" s="71"/>
      <x:c r="F2" s="71"/>
      <x:c r="G2" s="71"/>
    </x:row>
    <x:row r="3">
      <x:c r="A3" s="73"/>
      <x:c r="B3" s="73"/>
      <x:c r="C3" s="73"/>
      <x:c r="D3" s="73"/>
      <x:c r="E3" s="73"/>
      <x:c r="F3" s="73"/>
      <x:c r="G3" s="73"/>
    </x:row>
    <x:row r="4">
      <x:c r="A4" s="159" t="str">
        <x:v>Check</x:v>
      </x:c>
      <x:c r="B4" s="160" t="str">
        <x:v>Actual</x:v>
      </x:c>
      <x:c r="C4" s="160" t="str">
        <x:v>Expected</x:v>
      </x:c>
      <x:c r="D4" s="160" t="str">
        <x:v>Difference</x:v>
      </x:c>
      <x:c r="E4" s="160" t="str">
        <x:v>Tolerance</x:v>
      </x:c>
      <x:c r="F4" s="160" t="str">
        <x:v>Status</x:v>
      </x:c>
      <x:c r="G4" s="161" t="str">
        <x:v>Notes</x:v>
      </x:c>
    </x:row>
    <x:row r="5">
      <x:c r="A5" s="73" t="str">
        <x:v>WACC exceeds terminal growth</x:v>
      </x:c>
      <x:c r="B5" s="168" t="n">
        <x:f>'DCF Model'!$B$29-'DCF Model'!$B$28</x:f>
        <x:v>0.065477</x:v>
      </x:c>
      <x:c r="C5" s="168" t="n">
        <x:f>0</x:f>
        <x:v>0</x:v>
      </x:c>
      <x:c r="D5" s="168" t="n">
        <x:f>B5-C5</x:f>
        <x:v>0.065477</x:v>
      </x:c>
      <x:c r="E5" s="168" t="n">
        <x:f>0</x:f>
        <x:v>0</x:v>
      </x:c>
      <x:c r="F5" s="234" t="str">
        <x:f>IF(B5&gt;0,"OK","FAIL")</x:f>
        <x:v>OK</x:v>
      </x:c>
      <x:c r="G5" s="73" t="str">
        <x:v>Discount rate must exceed perpetual growth.</x:v>
      </x:c>
    </x:row>
    <x:row r="6">
      <x:c r="A6" s="73" t="str">
        <x:v>Scenario ordering: base &gt; downside</x:v>
      </x:c>
      <x:c r="B6" s="168" t="n">
        <x:f>'DCF Model'!$B$36-'DCF Model'!$B$76</x:f>
        <x:v>38.199240605930655</x:v>
      </x:c>
      <x:c r="C6" s="168" t="n">
        <x:f>0</x:f>
        <x:v>0</x:v>
      </x:c>
      <x:c r="D6" s="168" t="n">
        <x:f>B6-C6</x:f>
        <x:v>38.199240605930655</x:v>
      </x:c>
      <x:c r="E6" s="168" t="n">
        <x:f>0</x:f>
        <x:v>0</x:v>
      </x:c>
      <x:c r="F6" s="234" t="str">
        <x:f>IF(B6&gt;0,"OK","FAIL")</x:f>
        <x:v>OK</x:v>
      </x:c>
      <x:c r="G6" s="73" t="str">
        <x:v>Downside value must remain below base.</x:v>
      </x:c>
    </x:row>
    <x:row r="7">
      <x:c r="A7" s="73" t="str">
        <x:v>Scenario ordering: upside &gt; base</x:v>
      </x:c>
      <x:c r="B7" s="168" t="n">
        <x:f>'DCF Model'!$B$116-'DCF Model'!$B$36</x:f>
        <x:v>71.6261021443595</x:v>
      </x:c>
      <x:c r="C7" s="168" t="n">
        <x:f>0</x:f>
        <x:v>0</x:v>
      </x:c>
      <x:c r="D7" s="168" t="n">
        <x:f>B7-C7</x:f>
        <x:v>71.6261021443595</x:v>
      </x:c>
      <x:c r="E7" s="168" t="n">
        <x:f>0</x:f>
        <x:v>0</x:v>
      </x:c>
      <x:c r="F7" s="234" t="str">
        <x:f>IF(B7&gt;0,"OK","FAIL")</x:f>
        <x:v>OK</x:v>
      </x:c>
      <x:c r="G7" s="73" t="str">
        <x:v>Upside value must remain above base.</x:v>
      </x:c>
    </x:row>
    <x:row r="8">
      <x:c r="A8" s="73" t="str">
        <x:v>Scenario probabilities sum to 100%</x:v>
      </x:c>
      <x:c r="B8" s="168" t="n">
        <x:f>'Sensitivities'!$B$9</x:f>
        <x:v>1</x:v>
      </x:c>
      <x:c r="C8" s="168" t="n">
        <x:f>1</x:f>
        <x:v>1</x:v>
      </x:c>
      <x:c r="D8" s="168" t="n">
        <x:f>B8-C8</x:f>
        <x:v>0</x:v>
      </x:c>
      <x:c r="E8" s="168" t="n">
        <x:f>0.0001</x:f>
        <x:v>0.0001</x:v>
      </x:c>
      <x:c r="F8" s="234" t="str">
        <x:f>IF(ABS(D8)&lt;=E8,"OK","FAIL")</x:f>
        <x:v>OK</x:v>
      </x:c>
      <x:c r="G8" s="73" t="str">
        <x:v>Case probabilities are 25% / 55% / 20%.</x:v>
      </x:c>
    </x:row>
    <x:row r="9">
      <x:c r="A9" s="73" t="str">
        <x:v>Base FY2035 FCFF component tie</x:v>
      </x:c>
      <x:c r="B9" s="235" t="n">
        <x:f>'DCF Model'!$K$22</x:f>
        <x:v>2504.8870493985487</x:v>
      </x:c>
      <x:c r="C9" s="235" t="n">
        <x:f>'DCF Model'!$K$12+'DCF Model'!$K$15-'DCF Model'!$K$17-'DCF Model'!$K$20</x:f>
        <x:v>2504.8870493985487</x:v>
      </x:c>
      <x:c r="D9" s="235" t="n">
        <x:f>B9-C9</x:f>
        <x:v>0</x:v>
      </x:c>
      <x:c r="E9" s="235" t="n">
        <x:f>0.1</x:f>
        <x:v>0.1</x:v>
      </x:c>
      <x:c r="F9" s="234" t="str">
        <x:f>IF(ABS(D9)&lt;=E9,"OK","FAIL")</x:f>
        <x:v>OK</x:v>
      </x:c>
      <x:c r="G9" s="73" t="str">
        <x:v>FCFF = NOPAT + D&amp;A - capex - change in NWC.</x:v>
      </x:c>
    </x:row>
    <x:row r="10">
      <x:c r="A10" s="73" t="str">
        <x:v>Base EV-to-equity bridge tie</x:v>
      </x:c>
      <x:c r="B10" s="235" t="n">
        <x:f>'DCF Model'!$B$35</x:f>
        <x:v>25814.990427953486</x:v>
      </x:c>
      <x:c r="C10" s="235" t="n">
        <x:f>'DCF Model'!$B$33+'DCF Model'!$B$34</x:f>
        <x:v>25814.990427953486</x:v>
      </x:c>
      <x:c r="D10" s="235" t="n">
        <x:f>B10-C10</x:f>
        <x:v>0</x:v>
      </x:c>
      <x:c r="E10" s="235" t="n">
        <x:f>0.1</x:f>
        <x:v>0.1</x:v>
      </x:c>
      <x:c r="F10" s="234" t="str">
        <x:f>IF(ABS(D10)&lt;=E10,"OK","FAIL")</x:f>
        <x:v>OK</x:v>
      </x:c>
      <x:c r="G10" s="73" t="str">
        <x:v>Equity value = EV + net cash.</x:v>
      </x:c>
    </x:row>
    <x:row r="11">
      <x:c r="A11" s="73" t="str">
        <x:v>Sensitivity directionality</x:v>
      </x:c>
      <x:c r="B11" s="235" t="n">
        <x:f>'Sensitivities'!$B$14-'Sensitivities'!$F$18</x:f>
        <x:v>9.005300870183603</x:v>
      </x:c>
      <x:c r="C11" s="235" t="n">
        <x:f>0</x:f>
        <x:v>0</x:v>
      </x:c>
      <x:c r="D11" s="235" t="n">
        <x:f>B11-C11</x:f>
        <x:v>9.005300870183603</x:v>
      </x:c>
      <x:c r="E11" s="235" t="n">
        <x:f>0</x:f>
        <x:v>0</x:v>
      </x:c>
      <x:c r="F11" s="234" t="str">
        <x:f>IF(B11&gt;0,"OK","FAIL")</x:f>
        <x:v>OK</x:v>
      </x:c>
      <x:c r="G11" s="73" t="str">
        <x:v>Lower WACC / higher growth must increase value.</x:v>
      </x:c>
    </x:row>
    <x:row r="12">
      <x:c r="A12" s="73" t="str">
        <x:v>Reverse DCF ties to market EV</x:v>
      </x:c>
      <x:c r="B12" s="235" t="n">
        <x:f>'Sensitivities'!$B$28</x:f>
        <x:v>102392.74498617544</x:v>
      </x:c>
      <x:c r="C12" s="235" t="n">
        <x:f>'Sensitivities'!$B$24</x:f>
        <x:v>102392.74499999998</x:v>
      </x:c>
      <x:c r="D12" s="235" t="n">
        <x:f>B12-C12</x:f>
        <x:v>-0.000013824537745676935</x:v>
      </x:c>
      <x:c r="E12" s="235" t="n">
        <x:f>50</x:f>
        <x:v>50</x:v>
      </x:c>
      <x:c r="F12" s="234" t="str">
        <x:f>IF(ABS(D12)&lt;=E12,"OK","FAIL")</x:f>
        <x:v>OK</x:v>
      </x:c>
      <x:c r="G12" s="73" t="str">
        <x:v>Goal-seek growth should reproduce the market-implied EV within $50mm.</x:v>
      </x:c>
    </x:row>
    <x:row r="13">
      <x:c r="A13" s="73"/>
      <x:c r="B13" s="73"/>
      <x:c r="C13" s="73"/>
      <x:c r="D13" s="73"/>
      <x:c r="E13" s="73"/>
      <x:c r="F13" s="73"/>
      <x:c r="G13" s="73"/>
    </x:row>
    <x:row r="14">
      <x:c r="A14" s="73"/>
      <x:c r="B14" s="73"/>
      <x:c r="C14" s="73"/>
      <x:c r="D14" s="73"/>
      <x:c r="E14" s="73"/>
      <x:c r="F14" s="73"/>
      <x:c r="G14" s="73"/>
    </x:row>
    <x:row r="15">
      <x:c r="A15" s="236" t="str">
        <x:v>Overall Model Status</x:v>
      </x:c>
      <x:c r="B15" s="237" t="str">
        <x:f>IF(COUNTIF(F5:F12,"FAIL")&gt;0,"FAIL","OK — SCREEN GRADE")</x:f>
        <x:v>OK — SCREEN GRADE</x:v>
      </x:c>
      <x:c r="C15" s="73"/>
      <x:c r="D15" s="73"/>
      <x:c r="E15" s="73"/>
      <x:c r="F15" s="73"/>
      <x:c r="G15" s="73"/>
    </x:row>
    <x:row r="16">
      <x:c r="A16" s="73"/>
      <x:c r="B16" s="73"/>
      <x:c r="C16" s="73"/>
      <x:c r="D16" s="73"/>
      <x:c r="E16" s="73"/>
      <x:c r="F16" s="73"/>
      <x:c r="G16" s="73"/>
    </x:row>
    <x:row r="17">
      <x:c r="A17" s="93" t="str">
        <x:v>Screen-grade limitation: the full 10-year fade is analyst-authored, the model lacks consensus estimates and a bottom-up customer/ARR schedule, SBC is treated as an operating expense rather than modeled through annual dilution, and the latest completed quarter is Q1 2026. These limitations do not change the central conclusion that the current price requires assumptions materially above the upside case.</x:v>
      </x:c>
      <x:c r="B17" s="93"/>
      <x:c r="C17" s="93"/>
      <x:c r="D17" s="93"/>
      <x:c r="E17" s="93"/>
      <x:c r="F17" s="93"/>
      <x:c r="G17" s="93"/>
    </x:row>
    <x:row r="18">
      <x:c r="A18" s="93"/>
      <x:c r="B18" s="93"/>
      <x:c r="C18" s="93"/>
      <x:c r="D18" s="93"/>
      <x:c r="E18" s="93"/>
      <x:c r="F18" s="93"/>
      <x:c r="G18" s="93"/>
    </x:row>
    <x:row r="19">
      <x:c r="A19" s="93"/>
      <x:c r="B19" s="93"/>
      <x:c r="C19" s="93"/>
      <x:c r="D19" s="93"/>
      <x:c r="E19" s="93"/>
      <x:c r="F19" s="93"/>
      <x:c r="G19" s="93"/>
    </x:row>
    <x:row r="20">
      <x:c r="A20" s="93"/>
      <x:c r="B20" s="93"/>
      <x:c r="C20" s="93"/>
      <x:c r="D20" s="93"/>
      <x:c r="E20" s="93"/>
      <x:c r="F20" s="93"/>
      <x:c r="G20" s="93"/>
    </x:row>
    <x:row r="21">
      <x:c r="A21" s="73"/>
      <x:c r="B21" s="73"/>
      <x:c r="C21" s="73"/>
      <x:c r="D21" s="73"/>
      <x:c r="E21" s="73"/>
      <x:c r="F21" s="73"/>
      <x:c r="G21" s="73"/>
    </x:row>
    <x:row r="22">
      <x:c r="A22" s="73"/>
      <x:c r="B22" s="73"/>
      <x:c r="C22" s="73"/>
      <x:c r="D22" s="73"/>
      <x:c r="E22" s="73"/>
      <x:c r="F22" s="73"/>
      <x:c r="G22" s="73"/>
    </x:row>
  </x:sheetData>
  <x:mergeCells>
    <x:mergeCell ref="A1:G2"/>
    <x:mergeCell ref="A17:G20"/>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24" hidden="0" customWidth="1"/>
    <x:col min="3" max="3" width="20" hidden="0" customWidth="1"/>
    <x:col min="4" max="4" width="14" hidden="0" customWidth="1"/>
    <x:col min="5" max="5" width="30" hidden="0" customWidth="1"/>
    <x:col min="6" max="6" width="58" hidden="0" customWidth="1"/>
    <x:col min="7" max="7" width="60" hidden="0" customWidth="1"/>
  </x:cols>
  <x:sheetData>
    <x:row r="1" ht="30" customHeight="1">
      <x:c r="A1" s="71" t="str">
        <x:v>Sources and Assumption Register</x:v>
      </x:c>
      <x:c r="B1" s="71"/>
      <x:c r="C1" s="71"/>
      <x:c r="D1" s="71"/>
      <x:c r="E1" s="71"/>
      <x:c r="F1" s="71"/>
      <x:c r="G1" s="71"/>
    </x:row>
    <x:row r="2" ht="30" customHeight="1">
      <x:c r="A2" s="71"/>
      <x:c r="B2" s="71"/>
      <x:c r="C2" s="71"/>
      <x:c r="D2" s="71"/>
      <x:c r="E2" s="71"/>
      <x:c r="F2" s="71"/>
      <x:c r="G2" s="71"/>
    </x:row>
    <x:row r="3">
      <x:c r="A3" s="73"/>
      <x:c r="B3" s="73"/>
      <x:c r="C3" s="73"/>
      <x:c r="D3" s="73"/>
      <x:c r="E3" s="73"/>
      <x:c r="F3" s="73"/>
      <x:c r="G3" s="73"/>
    </x:row>
    <x:row r="4">
      <x:c r="A4" s="159" t="str">
        <x:v>ID</x:v>
      </x:c>
      <x:c r="B4" s="160" t="str">
        <x:v>Topic</x:v>
      </x:c>
      <x:c r="C4" s="160" t="str">
        <x:v>Evidence Type</x:v>
      </x:c>
      <x:c r="D4" s="160" t="str">
        <x:v>As Of</x:v>
      </x:c>
      <x:c r="E4" s="160" t="str">
        <x:v>Source</x:v>
      </x:c>
      <x:c r="F4" s="160" t="str">
        <x:v>URL</x:v>
      </x:c>
      <x:c r="G4" s="161" t="str">
        <x:v>Model Use / Limitation</x:v>
      </x:c>
    </x:row>
    <x:row r="5" ht="58" customHeight="1">
      <x:c r="A5" s="239" t="str">
        <x:v>S1</x:v>
      </x:c>
      <x:c r="B5" s="239" t="str">
        <x:v>Historical financials</x:v>
      </x:c>
      <x:c r="C5" s="239" t="str">
        <x:v>Reported</x:v>
      </x:c>
      <x:c r="D5" s="239" t="str">
        <x:v>2025-12-31</x:v>
      </x:c>
      <x:c r="E5" s="239" t="str">
        <x:v>Datadog FY2025 Form 10-K</x:v>
      </x:c>
      <x:c r="F5" s="239" t="str">
        <x:v>https://www.sec.gov/Archives/edgar/data/1561550/000162828026008819/ddog-20251231.htm</x:v>
      </x:c>
      <x:c r="G5" s="239" t="str">
        <x:v>Revenue, GAAP EBIT, D&amp;A, capex, capitalized software and working capital.</x:v>
      </x:c>
    </x:row>
    <x:row r="6" ht="58" customHeight="1">
      <x:c r="A6" s="239" t="str">
        <x:v>S2</x:v>
      </x:c>
      <x:c r="B6" s="239" t="str">
        <x:v>Balance sheet / bridge</x:v>
      </x:c>
      <x:c r="C6" s="239" t="str">
        <x:v>Reported</x:v>
      </x:c>
      <x:c r="D6" s="239" t="str">
        <x:v>2026-03-31</x:v>
      </x:c>
      <x:c r="E6" s="239" t="str">
        <x:v>Datadog Q1 2026 Form 10-Q</x:v>
      </x:c>
      <x:c r="F6" s="239" t="str">
        <x:v>https://www.sec.gov/Archives/edgar/data/1561550/000162828026032328/ddog-20260331.htm</x:v>
      </x:c>
      <x:c r="G6" s="239" t="str">
        <x:v>Cash, marketable securities, convert debt, leases and share data.</x:v>
      </x:c>
    </x:row>
    <x:row r="7" ht="58" customHeight="1">
      <x:c r="A7" s="239" t="str">
        <x:v>S3</x:v>
      </x:c>
      <x:c r="B7" s="239" t="str">
        <x:v>FY2026 forecast anchor</x:v>
      </x:c>
      <x:c r="C7" s="239" t="str">
        <x:v>Company guidance</x:v>
      </x:c>
      <x:c r="D7" s="239" t="str">
        <x:v>2026-05-07</x:v>
      </x:c>
      <x:c r="E7" s="239" t="str">
        <x:v>Datadog Q1 2026 earnings release</x:v>
      </x:c>
      <x:c r="F7" s="239" t="str">
        <x:v>https://investors.datadoghq.com/news-releases/news-release-details/datadog-announces-first-quarter-2026-financial-results/</x:v>
      </x:c>
      <x:c r="G7" s="239" t="str">
        <x:v>$4.32bn FY2026 revenue midpoint; subsequent years are analyst assumptions.</x:v>
      </x:c>
    </x:row>
    <x:row r="8" ht="58" customHeight="1">
      <x:c r="A8" s="239" t="str">
        <x:v>S4</x:v>
      </x:c>
      <x:c r="B8" s="239" t="str">
        <x:v>Risk-free rate</x:v>
      </x:c>
      <x:c r="C8" s="239" t="str">
        <x:v>Official market data</x:v>
      </x:c>
      <x:c r="D8" s="239" t="str">
        <x:v>2026-08-04</x:v>
      </x:c>
      <x:c r="E8" s="239" t="str">
        <x:v>U.S. Treasury daily yield curve</x:v>
      </x:c>
      <x:c r="F8" s="239" t="str">
        <x:v>https://home.treasury.gov/resource-center/data-chart-center/interest-rates/pages/xml?data=daily_treasury_yield_curve&amp;field_tdr_date_value_month=202608</x:v>
      </x:c>
      <x:c r="G8" s="239" t="str">
        <x:v>4.63% U.S. 10-year Treasury.</x:v>
      </x:c>
    </x:row>
    <x:row r="9" ht="58" customHeight="1">
      <x:c r="A9" s="239" t="str">
        <x:v>S5</x:v>
      </x:c>
      <x:c r="B9" s="239" t="str">
        <x:v>ERP and beta</x:v>
      </x:c>
      <x:c r="C9" s="239" t="str">
        <x:v>Academic market data</x:v>
      </x:c>
      <x:c r="D9" s="239" t="str">
        <x:v>2026-07-01</x:v>
      </x:c>
      <x:c r="E9" s="239" t="str">
        <x:v>Aswath Damodaran data</x:v>
      </x:c>
      <x:c r="F9" s="239" t="str">
        <x:v>https://pages.stern.nyu.edu/~adamodar/New_Home_Page/home.htm</x:v>
      </x:c>
      <x:c r="G9" s="239" t="str">
        <x:v>4.18% implied U.S. ERP and 1.25 software beta proxy.</x:v>
      </x:c>
    </x:row>
    <x:row r="10" ht="58" customHeight="1">
      <x:c r="A10" s="239" t="str">
        <x:v>S6</x:v>
      </x:c>
      <x:c r="B10" s="239" t="str">
        <x:v>Market price</x:v>
      </x:c>
      <x:c r="C10" s="239" t="str">
        <x:v>Market data</x:v>
      </x:c>
      <x:c r="D10" s="239" t="str">
        <x:v>2026-08-05</x:v>
      </x:c>
      <x:c r="E10" s="239" t="str">
        <x:v>DDOG quote</x:v>
      </x:c>
      <x:c r="F10" s="239" t="str"/>
      <x:c r="G10" s="239" t="str">
        <x:v>$288.15 at 00:15 UTC; market cap approximately $105.1bn.</x:v>
      </x:c>
    </x:row>
    <x:row r="11" ht="58" customHeight="1">
      <x:c r="A11" s="239" t="str">
        <x:v>A1</x:v>
      </x:c>
      <x:c r="B11" s="239" t="str">
        <x:v>Forecast / terminal</x:v>
      </x:c>
      <x:c r="C11" s="239" t="str">
        <x:v>Analyst assumption</x:v>
      </x:c>
      <x:c r="D11" s="239" t="str">
        <x:v>2026-08-05</x:v>
      </x:c>
      <x:c r="E11" s="239" t="str">
        <x:v>This model</x:v>
      </x:c>
      <x:c r="F11" s="239" t="str"/>
      <x:c r="G11" s="239" t="str">
        <x:v>Ten-year growth and GAAP margin fade, capex, D&amp;A, NWC, WACC adjustments, and terminal growth. Screen-grade until reconciled to consensus and customer-level drivers.</x:v>
      </x:c>
    </x:row>
    <x:row r="12">
      <x:c r="A12" s="73"/>
      <x:c r="B12" s="73"/>
      <x:c r="C12" s="73"/>
      <x:c r="D12" s="73"/>
      <x:c r="E12" s="73"/>
      <x:c r="F12" s="73"/>
      <x:c r="G12" s="73"/>
    </x:row>
    <x:row r="13">
      <x:c r="A13" s="73"/>
      <x:c r="B13" s="73"/>
      <x:c r="C13" s="73"/>
      <x:c r="D13" s="73"/>
      <x:c r="E13" s="73"/>
      <x:c r="F13" s="73"/>
      <x:c r="G13" s="73"/>
    </x:row>
  </x:sheetData>
  <x:mergeCells>
    <x:mergeCell ref="A1:G2"/>
  </x:mergeCells>
  <x:pageMargins left="0.7" right="0.7" top="0.75" bottom="0.75" header="0.3" footer="0.3"/>
</x:worksheet>
</file>