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arasvynnychuk/Projects/personal/hypothesis/outputs/019fa9b0-0192-7da1-a809-a77fda81c53a/"/>
    </mc:Choice>
  </mc:AlternateContent>
  <xr:revisionPtr revIDLastSave="0" documentId="13_ncr:1_{C8A99C0E-0910-5541-B19E-009571A7AFFD}" xr6:coauthVersionLast="47" xr6:coauthVersionMax="47" xr10:uidLastSave="{00000000-0000-0000-0000-000000000000}"/>
  <bookViews>
    <workbookView xWindow="0" yWindow="700" windowWidth="27040" windowHeight="15760" activeTab="3" xr2:uid="{00000000-000D-0000-FFFF-FFFF00000000}"/>
  </bookViews>
  <sheets>
    <sheet name="Summary" sheetId="1" r:id="rId1"/>
    <sheet name="Income Statement" sheetId="2" r:id="rId2"/>
    <sheet name="Source Data" sheetId="3" r:id="rId3"/>
    <sheet name="Sources &amp; 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B38" i="2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E41" i="4"/>
  <c r="F41" i="4" s="1"/>
  <c r="H41" i="4" s="1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E21" i="4"/>
  <c r="F21" i="4" s="1"/>
  <c r="H21" i="4" s="1"/>
  <c r="D21" i="4"/>
  <c r="D20" i="4"/>
  <c r="D19" i="4"/>
  <c r="D18" i="4"/>
  <c r="E17" i="4"/>
  <c r="D17" i="4"/>
  <c r="D16" i="4"/>
  <c r="D15" i="4"/>
  <c r="B45" i="2"/>
  <c r="H44" i="2"/>
  <c r="G44" i="2"/>
  <c r="F44" i="2"/>
  <c r="G45" i="2" s="1"/>
  <c r="E44" i="2"/>
  <c r="F45" i="2" s="1"/>
  <c r="D44" i="2"/>
  <c r="E45" i="2" s="1"/>
  <c r="C44" i="2"/>
  <c r="D45" i="2" s="1"/>
  <c r="B44" i="2"/>
  <c r="C45" i="2" s="1"/>
  <c r="H43" i="2"/>
  <c r="G43" i="2"/>
  <c r="D43" i="2"/>
  <c r="C43" i="2"/>
  <c r="B43" i="2"/>
  <c r="H42" i="2"/>
  <c r="G42" i="2"/>
  <c r="F42" i="2"/>
  <c r="F43" i="2" s="1"/>
  <c r="E42" i="2"/>
  <c r="D42" i="2"/>
  <c r="C42" i="2"/>
  <c r="B42" i="2"/>
  <c r="H41" i="2"/>
  <c r="G41" i="2"/>
  <c r="F41" i="2"/>
  <c r="E41" i="2"/>
  <c r="E43" i="2" s="1"/>
  <c r="D41" i="2"/>
  <c r="C41" i="2"/>
  <c r="B41" i="2"/>
  <c r="G40" i="2"/>
  <c r="F40" i="2"/>
  <c r="E40" i="2"/>
  <c r="D40" i="2"/>
  <c r="B40" i="2"/>
  <c r="H39" i="2"/>
  <c r="M5" i="1" s="1"/>
  <c r="G39" i="2"/>
  <c r="H40" i="2" s="1"/>
  <c r="F39" i="2"/>
  <c r="E39" i="2"/>
  <c r="D39" i="2"/>
  <c r="C39" i="2"/>
  <c r="B39" i="2"/>
  <c r="C40" i="2" s="1"/>
  <c r="H38" i="2"/>
  <c r="G38" i="2"/>
  <c r="F38" i="2"/>
  <c r="E38" i="2"/>
  <c r="D38" i="2"/>
  <c r="C38" i="2"/>
  <c r="H33" i="2"/>
  <c r="G33" i="2"/>
  <c r="F33" i="2"/>
  <c r="E33" i="2"/>
  <c r="D33" i="2"/>
  <c r="C33" i="2"/>
  <c r="B33" i="2"/>
  <c r="H30" i="2"/>
  <c r="E42" i="4" s="1"/>
  <c r="F42" i="4" s="1"/>
  <c r="H42" i="4" s="1"/>
  <c r="G30" i="2"/>
  <c r="F30" i="2"/>
  <c r="E40" i="4" s="1"/>
  <c r="F40" i="4" s="1"/>
  <c r="H40" i="4" s="1"/>
  <c r="E30" i="2"/>
  <c r="E39" i="4" s="1"/>
  <c r="F39" i="4" s="1"/>
  <c r="H39" i="4" s="1"/>
  <c r="H29" i="2"/>
  <c r="G29" i="2"/>
  <c r="F29" i="2"/>
  <c r="E29" i="2"/>
  <c r="D29" i="2"/>
  <c r="C29" i="2"/>
  <c r="B29" i="2"/>
  <c r="H28" i="2"/>
  <c r="G28" i="2"/>
  <c r="F28" i="2"/>
  <c r="E28" i="2"/>
  <c r="D28" i="2"/>
  <c r="D30" i="2" s="1"/>
  <c r="E38" i="4" s="1"/>
  <c r="F38" i="4" s="1"/>
  <c r="H38" i="4" s="1"/>
  <c r="C28" i="2"/>
  <c r="B28" i="2"/>
  <c r="B30" i="2" s="1"/>
  <c r="E36" i="4" s="1"/>
  <c r="F36" i="4" s="1"/>
  <c r="H36" i="4" s="1"/>
  <c r="H22" i="2"/>
  <c r="G22" i="2"/>
  <c r="F22" i="2"/>
  <c r="G21" i="2"/>
  <c r="F21" i="2"/>
  <c r="E21" i="2"/>
  <c r="F20" i="2"/>
  <c r="F19" i="2"/>
  <c r="E26" i="4" s="1"/>
  <c r="F26" i="4" s="1"/>
  <c r="H26" i="4" s="1"/>
  <c r="E19" i="2"/>
  <c r="E23" i="2" s="1"/>
  <c r="D19" i="2"/>
  <c r="H18" i="2"/>
  <c r="G18" i="2"/>
  <c r="F18" i="2"/>
  <c r="E18" i="2"/>
  <c r="E22" i="2" s="1"/>
  <c r="D18" i="2"/>
  <c r="D22" i="2" s="1"/>
  <c r="C18" i="2"/>
  <c r="C22" i="2" s="1"/>
  <c r="B18" i="2"/>
  <c r="H17" i="2"/>
  <c r="H21" i="2" s="1"/>
  <c r="G17" i="2"/>
  <c r="F17" i="2"/>
  <c r="E17" i="2"/>
  <c r="D17" i="2"/>
  <c r="D21" i="2" s="1"/>
  <c r="C17" i="2"/>
  <c r="C21" i="2" s="1"/>
  <c r="B17" i="2"/>
  <c r="H16" i="2"/>
  <c r="G16" i="2"/>
  <c r="F16" i="2"/>
  <c r="E16" i="2"/>
  <c r="D16" i="2"/>
  <c r="C16" i="2"/>
  <c r="B16" i="2"/>
  <c r="H13" i="2"/>
  <c r="D5" i="1" s="1"/>
  <c r="H12" i="2"/>
  <c r="E12" i="2"/>
  <c r="H10" i="2"/>
  <c r="G10" i="2"/>
  <c r="G11" i="2" s="1"/>
  <c r="F10" i="2"/>
  <c r="E10" i="2"/>
  <c r="E11" i="2" s="1"/>
  <c r="D10" i="2"/>
  <c r="C10" i="2"/>
  <c r="B10" i="2"/>
  <c r="B9" i="2"/>
  <c r="H8" i="2"/>
  <c r="G8" i="2"/>
  <c r="H9" i="2" s="1"/>
  <c r="F8" i="2"/>
  <c r="G9" i="2" s="1"/>
  <c r="E8" i="2"/>
  <c r="E20" i="2" s="1"/>
  <c r="D8" i="2"/>
  <c r="D12" i="2" s="1"/>
  <c r="C8" i="2"/>
  <c r="C12" i="2" s="1"/>
  <c r="B8" i="2"/>
  <c r="P5" i="1"/>
  <c r="F11" i="2" l="1"/>
  <c r="F12" i="2"/>
  <c r="C19" i="2"/>
  <c r="E25" i="4"/>
  <c r="F25" i="4" s="1"/>
  <c r="H25" i="4" s="1"/>
  <c r="C30" i="2"/>
  <c r="E37" i="4" s="1"/>
  <c r="F37" i="4" s="1"/>
  <c r="H37" i="4" s="1"/>
  <c r="B11" i="2"/>
  <c r="B12" i="2"/>
  <c r="A5" i="1"/>
  <c r="C9" i="2"/>
  <c r="E13" i="2"/>
  <c r="E18" i="4"/>
  <c r="F18" i="4" s="1"/>
  <c r="H18" i="4" s="1"/>
  <c r="E24" i="2"/>
  <c r="E24" i="4"/>
  <c r="F24" i="4" s="1"/>
  <c r="H24" i="4" s="1"/>
  <c r="D23" i="2"/>
  <c r="H24" i="2"/>
  <c r="B21" i="2"/>
  <c r="F17" i="4"/>
  <c r="H17" i="4" s="1"/>
  <c r="B20" i="2"/>
  <c r="B19" i="2"/>
  <c r="E16" i="4"/>
  <c r="F16" i="4" s="1"/>
  <c r="H16" i="4" s="1"/>
  <c r="C13" i="2"/>
  <c r="C24" i="2"/>
  <c r="D9" i="2"/>
  <c r="D13" i="2"/>
  <c r="D24" i="2"/>
  <c r="E9" i="2"/>
  <c r="G12" i="2"/>
  <c r="C20" i="2"/>
  <c r="F9" i="2"/>
  <c r="D11" i="2"/>
  <c r="D20" i="2"/>
  <c r="C11" i="2"/>
  <c r="G19" i="2"/>
  <c r="G20" i="2"/>
  <c r="H19" i="2"/>
  <c r="H20" i="2"/>
  <c r="B22" i="2"/>
  <c r="F23" i="2"/>
  <c r="H45" i="2"/>
  <c r="E32" i="4" l="1"/>
  <c r="F32" i="4" s="1"/>
  <c r="H32" i="4" s="1"/>
  <c r="E25" i="2"/>
  <c r="E31" i="2"/>
  <c r="E28" i="4"/>
  <c r="F28" i="4" s="1"/>
  <c r="H28" i="4" s="1"/>
  <c r="H23" i="2"/>
  <c r="E20" i="4"/>
  <c r="F20" i="4" s="1"/>
  <c r="H20" i="4" s="1"/>
  <c r="G13" i="2"/>
  <c r="G24" i="2"/>
  <c r="E22" i="4"/>
  <c r="F22" i="4" s="1"/>
  <c r="H22" i="4" s="1"/>
  <c r="B23" i="2"/>
  <c r="C23" i="2"/>
  <c r="E23" i="4"/>
  <c r="F23" i="4" s="1"/>
  <c r="H23" i="4" s="1"/>
  <c r="F24" i="2"/>
  <c r="F13" i="2"/>
  <c r="E19" i="4"/>
  <c r="F19" i="4" s="1"/>
  <c r="H19" i="4" s="1"/>
  <c r="H31" i="2"/>
  <c r="H25" i="2"/>
  <c r="G5" i="1" s="1"/>
  <c r="E35" i="4"/>
  <c r="F35" i="4" s="1"/>
  <c r="H35" i="4" s="1"/>
  <c r="E15" i="4"/>
  <c r="F15" i="4" s="1"/>
  <c r="H15" i="4" s="1"/>
  <c r="B13" i="2"/>
  <c r="B24" i="2"/>
  <c r="C31" i="2"/>
  <c r="E30" i="4"/>
  <c r="F30" i="4" s="1"/>
  <c r="H30" i="4" s="1"/>
  <c r="C25" i="2"/>
  <c r="E27" i="4"/>
  <c r="F27" i="4" s="1"/>
  <c r="H27" i="4" s="1"/>
  <c r="G23" i="2"/>
  <c r="D25" i="2"/>
  <c r="E31" i="4"/>
  <c r="F31" i="4" s="1"/>
  <c r="H31" i="4" s="1"/>
  <c r="D31" i="2"/>
  <c r="E44" i="4" l="1"/>
  <c r="F44" i="4" s="1"/>
  <c r="H44" i="4" s="1"/>
  <c r="C32" i="2"/>
  <c r="C34" i="2"/>
  <c r="C35" i="2"/>
  <c r="D32" i="2"/>
  <c r="D34" i="2"/>
  <c r="D35" i="2"/>
  <c r="E45" i="4"/>
  <c r="F45" i="4" s="1"/>
  <c r="H45" i="4" s="1"/>
  <c r="F25" i="2"/>
  <c r="F31" i="2"/>
  <c r="E33" i="4"/>
  <c r="F33" i="4" s="1"/>
  <c r="H33" i="4" s="1"/>
  <c r="E46" i="4"/>
  <c r="F46" i="4" s="1"/>
  <c r="H46" i="4" s="1"/>
  <c r="E34" i="2"/>
  <c r="E35" i="2"/>
  <c r="E32" i="2"/>
  <c r="H34" i="2"/>
  <c r="H32" i="2"/>
  <c r="E49" i="4"/>
  <c r="F49" i="4" s="1"/>
  <c r="H49" i="4" s="1"/>
  <c r="H35" i="2"/>
  <c r="G25" i="2"/>
  <c r="E34" i="4"/>
  <c r="F34" i="4" s="1"/>
  <c r="H34" i="4" s="1"/>
  <c r="G31" i="2"/>
  <c r="B31" i="2"/>
  <c r="B25" i="2"/>
  <c r="E29" i="4"/>
  <c r="F29" i="4" s="1"/>
  <c r="H29" i="4" s="1"/>
  <c r="B32" i="2" l="1"/>
  <c r="B35" i="2"/>
  <c r="E43" i="4"/>
  <c r="F43" i="4" s="1"/>
  <c r="H43" i="4" s="1"/>
  <c r="B34" i="2"/>
  <c r="G35" i="2"/>
  <c r="E48" i="4"/>
  <c r="F48" i="4" s="1"/>
  <c r="H48" i="4" s="1"/>
  <c r="G34" i="2"/>
  <c r="G32" i="2"/>
  <c r="E36" i="2"/>
  <c r="E53" i="4"/>
  <c r="F53" i="4" s="1"/>
  <c r="H53" i="4" s="1"/>
  <c r="E52" i="4"/>
  <c r="F52" i="4" s="1"/>
  <c r="H52" i="4" s="1"/>
  <c r="D36" i="2"/>
  <c r="H36" i="2"/>
  <c r="J5" i="1" s="1"/>
  <c r="E56" i="4"/>
  <c r="F56" i="4" s="1"/>
  <c r="H56" i="4" s="1"/>
  <c r="E51" i="4"/>
  <c r="F51" i="4" s="1"/>
  <c r="H51" i="4" s="1"/>
  <c r="C36" i="2"/>
  <c r="F34" i="2"/>
  <c r="F35" i="2"/>
  <c r="E47" i="4"/>
  <c r="F47" i="4" s="1"/>
  <c r="H47" i="4" s="1"/>
  <c r="F32" i="2"/>
  <c r="G36" i="2" l="1"/>
  <c r="E55" i="4"/>
  <c r="F55" i="4" s="1"/>
  <c r="H55" i="4" s="1"/>
  <c r="E54" i="4"/>
  <c r="F54" i="4" s="1"/>
  <c r="H54" i="4" s="1"/>
  <c r="J4" i="4" s="1"/>
  <c r="F36" i="2"/>
  <c r="E50" i="4"/>
  <c r="F50" i="4" s="1"/>
  <c r="H50" i="4" s="1"/>
  <c r="B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tc={C50F9023-6437-AA4C-F6E7-7FA4FAB09F01}</author>
    <author>tc={C255DC55-2DB7-3151-9413-7D6F28ADC47E}</author>
    <author>tc={F650E189-D98C-94CB-DD2A-863CD48AB72C}</author>
    <author>tc={CFAD09CA-A5AF-03D6-6AB1-BAC800A1D76E}</author>
    <author>tc={5180B144-5A76-E428-9B9C-25B1D3BB0DB4}</author>
    <author>tc={378F2854-96AC-462E-3B72-3BF1479388CB}</author>
    <author>tc={D0F3B88F-26C0-565A-36A3-A384F3A8AD93}</author>
    <author>tc={4BE5420B-5C1A-CE70-A4A3-6676050160A9}</author>
    <author>tc={FF93B168-E223-8714-1325-2B9653525799}</author>
    <author>tc={5701A57A-49AF-7203-EC89-DD217AC120B8}</author>
    <author>tc={F6C02F14-83AB-C853-018B-975559A6FC2E}</author>
    <author>tc={7C779C18-1B86-ABAD-85E5-00D862EB34C5}</author>
    <author>tc={B785EE0E-E6DE-E1A9-DD78-094DF14BB407}</author>
    <author>tc={48B3180E-BDA9-3CC3-CE9D-A7F4494F03C0}</author>
    <author>tc={4CD45E93-A475-77C5-4F73-F7E44BC2705B}</author>
    <author>tc={3B637A93-F16B-CE76-3CCF-53FACB2F8224}</author>
    <author>tc={DCF6D39E-4489-CD40-48BE-D9AB40FEF3F1}</author>
    <author>tc={1AD86106-95CA-F63C-708E-642963288AB8}</author>
    <author>tc={801E76A6-D644-0D04-EA07-152408BA76DF}</author>
    <author>tc={4DCC2EDF-6EED-74AA-7EBD-89818B810AD4}</author>
    <author>tc={865C73BB-9D85-F368-3E79-F71030B546CB}</author>
    <author>tc={9E71D6A2-EB72-BB49-01AE-F96765C7D747}</author>
    <author>tc={8C439502-E32C-049A-CF38-F3A228EC5487}</author>
    <author>tc={B22FF55F-F735-1152-06FD-B1478E51907D}</author>
    <author>tc={BAC9B6BE-39A7-0BB6-D41E-0C5BE8D7BE63}</author>
    <author>tc={5883049D-491A-A17B-FDA7-93871E45D248}</author>
    <author>tc={4AB35C86-331B-CBD7-FA6F-5920D4FDE5CE}</author>
    <author>tc={6DDB2D41-5361-99FA-0A12-F6AC91EA1E4A}</author>
    <author>tc={5F0FD500-F2EB-9962-E678-E3A87632F1C8}</author>
    <author>tc={445621AF-C174-05D4-536A-C6E0EAEEBEF4}</author>
    <author>tc={B208B102-9B35-2744-E032-611EE102C51B}</author>
    <author>tc={4B67F7CC-A13F-33CB-C382-5106E74CAB8E}</author>
    <author>tc={393AEBCC-F456-9277-A5C2-166F5813CA5D}</author>
    <author>tc={D81874C5-EC66-CDF3-FFF1-863E0620FEF2}</author>
    <author>tc={8ACBFA74-46D1-660C-22B7-BB3DBA7B2D84}</author>
    <author>tc={422C1B79-56CD-B9E4-5DDD-451C4BAD27AF}</author>
    <author>tc={7775C29B-197C-5684-0FE6-12B2F1DA68A9}</author>
    <author>tc={4D557671-1EEB-7938-0F29-1DE4AD18F997}</author>
    <author>tc={FEFB5D0E-F96B-2A27-2CC4-C3DA14964B8D}</author>
    <author>tc={C0E7A17C-DE26-18B8-4A4F-0A391D980063}</author>
    <author>tc={EB9B3CE5-9190-D53C-3E6E-0EA44E7C2677}</author>
    <author>tc={702D5B0C-8AD4-D819-6591-B68C0C65CF20}</author>
    <author>tc={1754A7C1-6FA1-284D-E873-F6F5216148B8}</author>
    <author>tc={18D2FAE4-3981-24F3-83D0-411599EB3023}</author>
    <author>tc={56190973-23A2-1B9C-F7F2-67922C25975E}</author>
    <author>tc={B42C3CB9-79F1-0C32-3D07-BFA4554587FB}</author>
    <author>tc={385BB4F6-B547-570E-93C7-87B25597F89A}</author>
    <author>tc={120210B9-4582-E3ED-B9FB-968C55058B79}</author>
    <author>tc={FFC6A5F2-4BED-5468-42C4-E9C97B7B505D}</author>
    <author>tc={447EAB22-344B-2076-A1AF-C7736AEF7628}</author>
    <author>tc={B37B4A03-DC00-377F-25AD-264C40FADFC4}</author>
    <author>tc={8BF66403-2F54-F9F4-2D36-2C24BDEBF833}</author>
    <author>tc={4CDADCE3-7D20-853A-75AD-56AA0D1CF814}</author>
    <author>tc={1048F1EE-AF7D-9897-06C9-B05616D09367}</author>
    <author>tc={BE48F2E0-5D45-184C-69CA-703682E7D452}</author>
    <author>tc={C19AB419-2A0A-9848-C16B-474CEAA436A2}</author>
    <author>tc={8A2BD3C3-8475-B917-8443-A15DDDDD667D}</author>
    <author>tc={2DE5DD51-A79C-B8A2-2324-530C0C85EC28}</author>
    <author>tc={39594BE8-BF47-5760-2E29-9BFEEE0B7B5E}</author>
    <author>tc={E8AD6273-2E45-1757-4BD5-749C28F6883C}</author>
    <author>tc={3615959E-59B5-0F1E-37EF-25080DFACDE7}</author>
    <author>tc={99B6988D-A09F-F5B1-D336-9982132E70A4}</author>
    <author>tc={D8FA529C-CE8C-D2A6-6A1D-DC2AA2F72519}</author>
    <author>tc={D34AFBAA-E4F5-A793-83A1-FCBAC2E2BACE}</author>
    <author>tc={0F19C4E5-6188-9674-9C68-A6ABBE19A8B8}</author>
    <author>tc={C66D9804-042A-F06C-0866-65B515181DFF}</author>
    <author>tc={016BD530-5863-C769-7015-AA54551AF31B}</author>
    <author>tc={DEDB3C7C-B900-D964-A232-4C3E7AEEFA9E}</author>
    <author>tc={AA785D30-0E05-CFB2-4D1F-CBDF60BF9498}</author>
    <author>tc={F052D944-5DF9-4529-8154-4B5A2D041375}</author>
    <author>tc={11BE68B7-72DF-28D0-8E8D-7D5F71909C7A}</author>
    <author>tc={6165DA7D-F2D8-57DF-F141-9758F43C25A7}</author>
    <author>tc={09B92030-B083-1235-3099-2AD13918939D}</author>
    <author>tc={52F77BB6-6E19-5B38-C0CC-3FBF5E531A03}</author>
    <author>tc={F22697C1-7CA7-AFC8-01AC-BBFC62CC1B08}</author>
    <author>tc={D19550EC-B7BA-9E42-69C6-3B0DB9D2E9B5}</author>
    <author>tc={563BE390-3C50-9C89-D238-6D9E3A98AE40}</author>
    <author>tc={C9DE64E8-8BD6-DE1E-7C98-6853EDB0DA0E}</author>
    <author>tc={142D2E40-C027-4224-5E8F-BB1911A5A005}</author>
    <author>tc={5369E9C8-EDF3-EE4C-FD0C-E2F1FB1D2A45}</author>
    <author>tc={849A4975-98EB-160A-94D7-4868E5BC7B7A}</author>
    <author>tc={9D9ED7A1-1021-2AD0-2FCC-D9C5DB71955E}</author>
    <author>tc={F88B6466-EB4A-5B90-12F4-752D3C2949DC}</author>
    <author>tc={F5D90804-F06B-1440-1C79-C20DD2F6C5BB}</author>
    <author>tc={26A8AF60-7CED-36EE-9473-3093DD06084C}</author>
    <author>tc={5D6D966F-9E10-09D2-89A1-051BC9AA54CA}</author>
    <author>tc={063454E0-3FFC-66BF-4F94-0E0153B85F2C}</author>
    <author>tc={4E577162-876C-F181-020A-218100994D27}</author>
    <author>tc={BF58056F-F370-E4F2-13E9-082F68E86190}</author>
    <author>tc={64095062-D63D-1DE7-7148-6697380AC2B1}</author>
    <author>tc={9178775C-93A4-018C-E93A-9AE722DECBB6}</author>
    <author>tc={4FA229DE-9006-44CA-9393-A49AFB36FBB4}</author>
    <author>tc={8DE9D64A-ECBB-EB25-E4AC-D446616460D6}</author>
    <author>tc={A8F4C953-E220-B592-0489-769F85FBA476}</author>
    <author>tc={B1783A1A-DE1E-A49C-D810-95F989C3A0FF}</author>
    <author>tc={ABC022EF-F2D6-2EE3-5173-F966C0960995}</author>
    <author>tc={A96DC428-6B8C-00E6-EFDF-70D3B1842AAB}</author>
    <author>tc={F67C3278-BC80-7B91-07C6-DE7C0F5C0C32}</author>
    <author>tc={B7842B1E-859F-CA32-9F10-CDECFA98B83F}</author>
    <author>tc={C8D2F664-D019-A993-15C8-FE2AF4605C33}</author>
    <author>tc={F912024C-A141-7F55-C35D-C8911BDB86E4}</author>
    <author>tc={E6B6D725-1885-4D49-3A3B-6ED3B913DB2E}</author>
    <author>tc={4787D460-FFA5-64A0-DD9D-B01D729AEFF2}</author>
    <author>tc={4D846BF5-85E9-B73C-CB61-3129D804B816}</author>
    <author>tc={31CE0A06-6B3B-0F98-52FA-482F35777267}</author>
    <author>tc={F7CF22C3-D399-2877-C970-8DC1EC5C5A1D}</author>
    <author>tc={6D1F8D2A-25D3-60C6-0968-DBD40D85C442}</author>
    <author>tc={BFD62EC9-E3BE-1E23-99DA-CF1E2A6227C4}</author>
    <author>tc={B8CD815E-CCCC-0CAA-5A12-C8F0D4B08091}</author>
    <author>tc={8583757B-00B3-D975-5460-95DDC59F1E2C}</author>
    <author>tc={5779DE49-433E-C383-428B-BDEB305228B8}</author>
    <author>tc={07FC1282-EF92-C59D-81D9-ED4A5DCF5284}</author>
    <author>tc={9F0AA122-5B71-737A-9133-30C2FDDC5415}</author>
    <author>tc={8445F90E-4D66-5478-B7DB-76026778FF17}</author>
    <author>tc={470D8E45-48F8-D29E-591C-FA97B2FC2426}</author>
    <author>tc={D605A300-7C9B-04D0-3F49-456C8717CFDF}</author>
    <author>tc={B9D493C0-E71C-575E-153A-089B42A2E17D}</author>
    <author>tc={8CE5CF5B-8C19-BBBC-B673-9E7F44771F7D}</author>
    <author>tc={7FF2439D-FC36-22A5-275B-2A6DB2E4EB95}</author>
    <author>tc={A79A65FF-53BF-A7C6-A740-DFAD82550C0F}</author>
    <author>tc={0E5F43CC-D1B1-9DCC-1E75-A7A1073A9052}</author>
    <author>tc={3AC97FF0-E39E-040C-8DFC-5B94620D9308}</author>
    <author>tc={A5FD1994-76E3-D205-3707-4105C0B4DA26}</author>
    <author>tc={F7ACAE52-17A1-6B7A-B488-66A07BA947C7}</author>
    <author>tc={88BAB36D-F6E4-C4D4-DD63-33DF63F74DDF}</author>
    <author>tc={D2FEE64D-B898-FCAF-51C1-B9A7D9EEDD0D}</author>
    <author>tc={DD7AF54B-D9AC-C725-C7A8-93F38C2B73F2}</author>
    <author>tc={EB5589E0-8FCA-DA81-A30B-9915DCF08829}</author>
    <author>tc={2F270B5A-7532-844E-0A3F-3872BC9127B2}</author>
    <author>tc={98A4689D-885D-7505-4C76-65B9B6D372D7}</author>
    <author>tc={5A48623C-0F50-DCE5-47C7-A2804DEDF47B}</author>
    <author>tc={4CE9CF6C-7F4C-D914-0611-DA0896C906DD}</author>
    <author>tc={EAB16FDD-0CBC-1239-7770-55A94B64FDAC}</author>
  </authors>
  <commentList>
    <comment ref="B5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5" authorId="1" shapeId="0" xr:uid="{00000000-0006-0000-02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5" authorId="2" shapeId="0" xr:uid="{00000000-0006-0000-02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5" authorId="3" shapeId="0" xr:uid="{00000000-0006-0000-02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5" authorId="4" shapeId="0" xr:uid="{00000000-0006-0000-02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5" authorId="5" shapeId="0" xr:uid="{00000000-0006-0000-0200-00006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5" authorId="6" shapeId="0" xr:uid="{00000000-0006-0000-0200-00007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6" authorId="7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6" authorId="8" shapeId="0" xr:uid="{00000000-0006-0000-02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6" authorId="9" shapeId="0" xr:uid="{00000000-0006-0000-02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6" authorId="10" shapeId="0" xr:uid="{00000000-0006-0000-02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6" authorId="11" shapeId="0" xr:uid="{00000000-0006-0000-02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6" authorId="12" shapeId="0" xr:uid="{00000000-0006-0000-0200-00006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6" authorId="13" shapeId="0" xr:uid="{00000000-0006-0000-0200-00007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7" authorId="14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7" authorId="15" shapeId="0" xr:uid="{00000000-0006-0000-02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7" authorId="16" shapeId="0" xr:uid="{00000000-0006-0000-02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7" authorId="17" shapeId="0" xr:uid="{00000000-0006-0000-02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7" authorId="18" shapeId="0" xr:uid="{00000000-0006-0000-0200-00004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7" authorId="19" shapeId="0" xr:uid="{00000000-0006-0000-0200-00006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7" authorId="20" shapeId="0" xr:uid="{00000000-0006-0000-0200-00007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8" authorId="21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8" authorId="22" shapeId="0" xr:uid="{00000000-0006-0000-02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8" authorId="23" shapeId="0" xr:uid="{00000000-0006-0000-02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8" authorId="24" shapeId="0" xr:uid="{00000000-0006-0000-02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8" authorId="25" shapeId="0" xr:uid="{00000000-0006-0000-0200-00005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8" authorId="26" shapeId="0" xr:uid="{00000000-0006-0000-0200-00006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8" authorId="27" shapeId="0" xr:uid="{00000000-0006-0000-0200-00007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9" authorId="28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9" authorId="29" shapeId="0" xr:uid="{00000000-0006-0000-02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9" authorId="30" shapeId="0" xr:uid="{00000000-0006-0000-02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9" authorId="31" shapeId="0" xr:uid="{00000000-0006-0000-02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9" authorId="32" shapeId="0" xr:uid="{00000000-0006-0000-0200-00005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9" authorId="33" shapeId="0" xr:uid="{00000000-0006-0000-0200-00006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9" authorId="34" shapeId="0" xr:uid="{00000000-0006-0000-0200-00007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0" authorId="35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0" authorId="36" shapeId="0" xr:uid="{00000000-0006-0000-02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0" authorId="37" shapeId="0" xr:uid="{00000000-0006-0000-02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0" authorId="38" shapeId="0" xr:uid="{00000000-0006-0000-02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0" authorId="39" shapeId="0" xr:uid="{00000000-0006-0000-0200-00005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0" authorId="40" shapeId="0" xr:uid="{00000000-0006-0000-0200-00006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0" authorId="41" shapeId="0" xr:uid="{00000000-0006-0000-0200-00007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1" authorId="42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1" authorId="43" shapeId="0" xr:uid="{00000000-0006-0000-02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1" authorId="44" shapeId="0" xr:uid="{00000000-0006-0000-02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1" authorId="45" shapeId="0" xr:uid="{00000000-0006-0000-02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1" authorId="46" shapeId="0" xr:uid="{00000000-0006-0000-0200-00005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1" authorId="47" shapeId="0" xr:uid="{00000000-0006-0000-0200-00006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1" authorId="48" shapeId="0" xr:uid="{00000000-0006-0000-0200-00007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2" authorId="49" shapeId="0" xr:uid="{00000000-0006-0000-0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2" authorId="50" shapeId="0" xr:uid="{00000000-0006-0000-02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2" authorId="51" shapeId="0" xr:uid="{00000000-0006-0000-02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2" authorId="52" shapeId="0" xr:uid="{00000000-0006-0000-02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2" authorId="53" shapeId="0" xr:uid="{00000000-0006-0000-0200-00005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2" authorId="54" shapeId="0" xr:uid="{00000000-0006-0000-0200-00006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2" authorId="55" shapeId="0" xr:uid="{00000000-0006-0000-0200-00007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3" authorId="56" shapeId="0" xr:uid="{00000000-0006-0000-0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3" authorId="57" shapeId="0" xr:uid="{00000000-0006-0000-02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3" authorId="58" shapeId="0" xr:uid="{00000000-0006-0000-02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3" authorId="59" shapeId="0" xr:uid="{00000000-0006-0000-02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3" authorId="60" shapeId="0" xr:uid="{00000000-0006-0000-0200-00005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3" authorId="61" shapeId="0" xr:uid="{00000000-0006-0000-0200-00006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3" authorId="62" shapeId="0" xr:uid="{00000000-0006-0000-0200-00007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4" authorId="63" shapeId="0" xr:uid="{00000000-0006-0000-0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4" authorId="64" shapeId="0" xr:uid="{00000000-0006-0000-02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4" authorId="65" shapeId="0" xr:uid="{00000000-0006-0000-02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4" authorId="66" shapeId="0" xr:uid="{00000000-0006-0000-02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4" authorId="67" shapeId="0" xr:uid="{00000000-0006-0000-0200-00005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4" authorId="68" shapeId="0" xr:uid="{00000000-0006-0000-0200-00006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4" authorId="69" shapeId="0" xr:uid="{00000000-0006-0000-0200-00007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5" authorId="70" shapeId="0" xr:uid="{00000000-0006-0000-0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5" authorId="71" shapeId="0" xr:uid="{00000000-0006-0000-02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5" authorId="72" shapeId="0" xr:uid="{00000000-0006-0000-02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5" authorId="73" shapeId="0" xr:uid="{00000000-0006-0000-02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5" authorId="74" shapeId="0" xr:uid="{00000000-0006-0000-0200-00005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5" authorId="75" shapeId="0" xr:uid="{00000000-0006-0000-0200-00006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5" authorId="76" shapeId="0" xr:uid="{00000000-0006-0000-0200-00007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6" authorId="77" shapeId="0" xr:uid="{00000000-0006-0000-02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6" authorId="78" shapeId="0" xr:uid="{00000000-0006-0000-02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6" authorId="79" shapeId="0" xr:uid="{00000000-0006-0000-02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6" authorId="80" shapeId="0" xr:uid="{00000000-0006-0000-02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6" authorId="81" shapeId="0" xr:uid="{00000000-0006-0000-0200-00005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6" authorId="82" shapeId="0" xr:uid="{00000000-0006-0000-0200-00006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6" authorId="83" shapeId="0" xr:uid="{00000000-0006-0000-0200-00007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7" authorId="84" shapeId="0" xr:uid="{00000000-0006-0000-02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 Normalized as a positive expense. In loss years the filing presents the provision in parentheses.</t>
      </text>
    </comment>
    <comment ref="C17" authorId="85" shapeId="0" xr:uid="{00000000-0006-0000-02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>
      </text>
    </comment>
    <comment ref="D17" authorId="86" shapeId="0" xr:uid="{00000000-0006-0000-02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>
      </text>
    </comment>
    <comment ref="E17" authorId="87" shapeId="0" xr:uid="{00000000-0006-0000-02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>
      </text>
    </comment>
    <comment ref="F17" authorId="88" shapeId="0" xr:uid="{00000000-0006-0000-0200-00005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>
      </text>
    </comment>
    <comment ref="G17" authorId="89" shapeId="0" xr:uid="{00000000-0006-0000-0200-00006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>
      </text>
    </comment>
    <comment ref="H17" authorId="90" shapeId="0" xr:uid="{00000000-0006-0000-0200-00007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>
      </text>
    </comment>
    <comment ref="B18" authorId="91" shapeId="0" xr:uid="{00000000-0006-0000-02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$mm.</t>
      </text>
    </comment>
    <comment ref="C18" authorId="92" shapeId="0" xr:uid="{00000000-0006-0000-02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$mm.</t>
      </text>
    </comment>
    <comment ref="D18" authorId="93" shapeId="0" xr:uid="{00000000-0006-0000-02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$mm.</t>
      </text>
    </comment>
    <comment ref="E18" authorId="94" shapeId="0" xr:uid="{00000000-0006-0000-02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$mm.</t>
      </text>
    </comment>
    <comment ref="F18" authorId="95" shapeId="0" xr:uid="{00000000-0006-0000-0200-00005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$mm.</t>
      </text>
    </comment>
    <comment ref="G18" authorId="96" shapeId="0" xr:uid="{00000000-0006-0000-0200-00006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$mm.</t>
      </text>
    </comment>
    <comment ref="H18" authorId="97" shapeId="0" xr:uid="{00000000-0006-0000-0200-00008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$mm.</t>
      </text>
    </comment>
    <comment ref="B19" authorId="98" shapeId="0" xr:uid="{00000000-0006-0000-02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$/share.</t>
      </text>
    </comment>
    <comment ref="C19" authorId="99" shapeId="0" xr:uid="{00000000-0006-0000-02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$/share.</t>
      </text>
    </comment>
    <comment ref="D19" authorId="100" shapeId="0" xr:uid="{00000000-0006-0000-02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$/share.</t>
      </text>
    </comment>
    <comment ref="E19" authorId="101" shapeId="0" xr:uid="{00000000-0006-0000-02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$/share.</t>
      </text>
    </comment>
    <comment ref="F19" authorId="102" shapeId="0" xr:uid="{00000000-0006-0000-0200-00005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$/share.</t>
      </text>
    </comment>
    <comment ref="G19" authorId="103" shapeId="0" xr:uid="{00000000-0006-0000-0200-00006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$/share.</t>
      </text>
    </comment>
    <comment ref="H19" authorId="104" shapeId="0" xr:uid="{00000000-0006-0000-0200-00008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$/share.</t>
      </text>
    </comment>
    <comment ref="B20" authorId="105" shapeId="0" xr:uid="{00000000-0006-0000-02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$/share.</t>
      </text>
    </comment>
    <comment ref="C20" authorId="106" shapeId="0" xr:uid="{00000000-0006-0000-02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$/share.</t>
      </text>
    </comment>
    <comment ref="D20" authorId="107" shapeId="0" xr:uid="{00000000-0006-0000-02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$/share.</t>
      </text>
    </comment>
    <comment ref="E20" authorId="108" shapeId="0" xr:uid="{00000000-0006-0000-02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$/share.</t>
      </text>
    </comment>
    <comment ref="F20" authorId="109" shapeId="0" xr:uid="{00000000-0006-0000-0200-00005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$/share.</t>
      </text>
    </comment>
    <comment ref="G20" authorId="110" shapeId="0" xr:uid="{00000000-0006-0000-0200-00006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$/share.</t>
      </text>
    </comment>
    <comment ref="H20" authorId="111" shapeId="0" xr:uid="{00000000-0006-0000-0200-00008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$/share.</t>
      </text>
    </comment>
    <comment ref="B21" authorId="112" shapeId="0" xr:uid="{00000000-0006-0000-02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mm shares.</t>
      </text>
    </comment>
    <comment ref="C21" authorId="113" shapeId="0" xr:uid="{00000000-0006-0000-02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mm shares.</t>
      </text>
    </comment>
    <comment ref="D21" authorId="114" shapeId="0" xr:uid="{00000000-0006-0000-02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mm shares.</t>
      </text>
    </comment>
    <comment ref="E21" authorId="115" shapeId="0" xr:uid="{00000000-0006-0000-0200-00004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mm shares.</t>
      </text>
    </comment>
    <comment ref="F21" authorId="116" shapeId="0" xr:uid="{00000000-0006-0000-0200-00005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mm shares.</t>
      </text>
    </comment>
    <comment ref="G21" authorId="117" shapeId="0" xr:uid="{00000000-0006-0000-0200-00007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mm shares.</t>
      </text>
    </comment>
    <comment ref="H21" authorId="118" shapeId="0" xr:uid="{00000000-0006-0000-0200-00008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mm shares.</t>
      </text>
    </comment>
    <comment ref="B22" authorId="119" shapeId="0" xr:uid="{00000000-0006-0000-02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Consolidated Statements of Operations | https://www.sec.gov/Archives/edgar/data/1561550/000156155022000009/ddog-20211231.htm | Retrieved 2026-07-28. Normalized from source units to mm shares.</t>
      </text>
    </comment>
    <comment ref="C22" authorId="120" shapeId="0" xr:uid="{00000000-0006-0000-02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Consolidated Statements of Operations | https://www.sec.gov/Archives/edgar/data/1561550/000156155023000006/ddog-20221231.htm | Retrieved 2026-07-28. Normalized from source units to mm shares.</t>
      </text>
    </comment>
    <comment ref="D22" authorId="121" shapeId="0" xr:uid="{00000000-0006-0000-02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Consolidated Statements of Operations | https://www.sec.gov/Archives/edgar/data/1561550/000156155023000006/ddog-20221231.htm | Retrieved 2026-07-28. Normalized from source units to mm shares.</t>
      </text>
    </comment>
    <comment ref="E22" authorId="122" shapeId="0" xr:uid="{00000000-0006-0000-02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Consolidated Statements of Operations | https://www.sec.gov/Archives/edgar/data/1561550/000156155023000006/ddog-20221231.htm | Retrieved 2026-07-28. Normalized from source units to mm shares.</t>
      </text>
    </comment>
    <comment ref="F22" authorId="123" shapeId="0" xr:uid="{00000000-0006-0000-0200-00005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Consolidated Statements of Operations | https://www.sec.gov/Archives/edgar/data/1561550/000162828026008819/ddog-20251231.htm | Retrieved 2026-07-28. Normalized from source units to mm shares.</t>
      </text>
    </comment>
    <comment ref="G22" authorId="124" shapeId="0" xr:uid="{00000000-0006-0000-0200-00007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Consolidated Statements of Operations | https://www.sec.gov/Archives/edgar/data/1561550/000162828026008819/ddog-20251231.htm | Retrieved 2026-07-28. Normalized from source units to mm shares.</t>
      </text>
    </comment>
    <comment ref="H22" authorId="125" shapeId="0" xr:uid="{00000000-0006-0000-0200-00008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Consolidated Statements of Operations | https://www.sec.gov/Archives/edgar/data/1561550/000162828026008819/ddog-20251231.htm | Retrieved 2026-07-28. Normalized from source units to mm shares.</t>
      </text>
    </comment>
    <comment ref="B23" authorId="126" shapeId="0" xr:uid="{00000000-0006-0000-02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SRC-001 | Datadog Form 10-K | FY2019 | Balance sheet / statement of stockholders’ equity | https://www.sec.gov/Archives/edgar/data/1561550/000156155022000009/ddog-20211231.htm | Retrieved 2026-07-28. Normalized from source units to mm shares.</t>
      </text>
    </comment>
    <comment ref="C23" authorId="127" shapeId="0" xr:uid="{00000000-0006-0000-02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FY2020 | Balance sheet / statement of stockholders’ equity | https://www.sec.gov/Archives/edgar/data/1561550/000156155023000006/ddog-20221231.htm | Retrieved 2026-07-28. Normalized from source units to mm shares.</t>
      </text>
    </comment>
    <comment ref="D23" authorId="128" shapeId="0" xr:uid="{00000000-0006-0000-02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FY2021 | Balance sheet / statement of stockholders’ equity | https://www.sec.gov/Archives/edgar/data/1561550/000156155023000006/ddog-20221231.htm | Retrieved 2026-07-28. Normalized from source units to mm shares.</t>
      </text>
    </comment>
    <comment ref="E23" authorId="129" shapeId="0" xr:uid="{00000000-0006-0000-02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SRC-002 | Datadog Form 10-K | FY2022 | Balance sheet / statement of stockholders’ equity | https://www.sec.gov/Archives/edgar/data/1561550/000156155023000006/ddog-20221231.htm | Retrieved 2026-07-28. Normalized from source units to mm shares.</t>
      </text>
    </comment>
    <comment ref="F23" authorId="130" shapeId="0" xr:uid="{00000000-0006-0000-0200-00005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FY2023 | Balance sheet / statement of stockholders’ equity | https://www.sec.gov/Archives/edgar/data/1561550/000162828026008819/ddog-20251231.htm | Retrieved 2026-07-28. Normalized from source units to mm shares.</t>
      </text>
    </comment>
    <comment ref="G23" authorId="131" shapeId="0" xr:uid="{00000000-0006-0000-0200-00007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FY2024 | Balance sheet / statement of stockholders’ equity | https://www.sec.gov/Archives/edgar/data/1561550/000162828026008819/ddog-20251231.htm | Retrieved 2026-07-28. Normalized from source units to mm shares.</t>
      </text>
    </comment>
    <comment ref="H23" authorId="132" shapeId="0" xr:uid="{00000000-0006-0000-0200-00008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SRC-003 | Datadog Form 10-K | FY2025 | Balance sheet / statement of stockholders’ equity | https://www.sec.gov/Archives/edgar/data/1561550/000162828026008819/ddog-20251231.htm | Retrieved 2026-07-28. Normalized from source units to mm shares.</t>
      </text>
    </comment>
  </commentList>
</comments>
</file>

<file path=xl/sharedStrings.xml><?xml version="1.0" encoding="utf-8"?>
<sst xmlns="http://schemas.openxmlformats.org/spreadsheetml/2006/main" count="374" uniqueCount="153">
  <si>
    <t>Datadog — 7-year operating trend dashboard</t>
  </si>
  <si>
    <t>2019–2025 audited GAAP actuals | Use the Income Statement tab for full detail and formulas</t>
  </si>
  <si>
    <t>Revenue CAGR</t>
  </si>
  <si>
    <t>2025 gross margin</t>
  </si>
  <si>
    <t>2025 operating margin</t>
  </si>
  <si>
    <t>2025 net margin</t>
  </si>
  <si>
    <t>2025 diluted EPS</t>
  </si>
  <si>
    <t>Y/E share CAGR</t>
  </si>
  <si>
    <t>Reading note: diluted EPS growth is intentionally blank when the prior or current EPS is non-positive; percentages across zero are not economically meaningful.</t>
  </si>
  <si>
    <t>Datadog (NASDAQ: DDOG) — 7-year income statement</t>
  </si>
  <si>
    <t>GAAP actuals | Fiscal years ended December 31 | USD millions, except per-share data</t>
  </si>
  <si>
    <t>Legend: green font = linked reported data from Source Data; black font = workbook calculation</t>
  </si>
  <si>
    <t>Fiscal year</t>
  </si>
  <si>
    <t>1–3  Revenue, cost of revenue &amp; gross profit</t>
  </si>
  <si>
    <t>Revenue</t>
  </si>
  <si>
    <t>YoY growth</t>
  </si>
  <si>
    <t>Cost of revenue</t>
  </si>
  <si>
    <t>Cost of revenue as % of revenue</t>
  </si>
  <si>
    <t>Gross profit</t>
  </si>
  <si>
    <t>Gross margin</t>
  </si>
  <si>
    <t>4–5  Operating expenses &amp; operating income</t>
  </si>
  <si>
    <t>Research and development</t>
  </si>
  <si>
    <t>Sales and marketing</t>
  </si>
  <si>
    <t>General and administrative</t>
  </si>
  <si>
    <t>Total operating expenses</t>
  </si>
  <si>
    <t>R&amp;D as % of revenue</t>
  </si>
  <si>
    <t>Sales &amp; marketing as % of revenue</t>
  </si>
  <si>
    <t>G&amp;A as % of revenue</t>
  </si>
  <si>
    <t>Operating expenses as % of revenue</t>
  </si>
  <si>
    <t>Operating income (loss)</t>
  </si>
  <si>
    <t>Operating margin</t>
  </si>
  <si>
    <t>6–7  Below-the-line, net income, EPS &amp; shares</t>
  </si>
  <si>
    <t>Interest expense</t>
  </si>
  <si>
    <t>Interest income and other income, net</t>
  </si>
  <si>
    <t>Other income (loss), net</t>
  </si>
  <si>
    <t>Income (loss) before income taxes</t>
  </si>
  <si>
    <t>Pre-tax margin</t>
  </si>
  <si>
    <t>Provision for income taxes</t>
  </si>
  <si>
    <t>Effective tax rate (only when pre-tax income &gt; 0)</t>
  </si>
  <si>
    <t>Net income (loss)</t>
  </si>
  <si>
    <t>Net margin</t>
  </si>
  <si>
    <t>Basic EPS</t>
  </si>
  <si>
    <t>Diluted EPS</t>
  </si>
  <si>
    <t>Diluted EPS YoY growth (positive base only)</t>
  </si>
  <si>
    <t>Weighted average shares — basic</t>
  </si>
  <si>
    <t>Weighted average shares — diluted</t>
  </si>
  <si>
    <t>Potential dilution vs basic share count</t>
  </si>
  <si>
    <t>Year-end shares outstanding</t>
  </si>
  <si>
    <t>Year-end shares YoY growth</t>
  </si>
  <si>
    <t>Datadog — source-reported GAAP financials</t>
  </si>
  <si>
    <t>Audited annual figures normalized from $000 to USD millions. Source values are hardcoded; calculated rows live on the Income Statement tab.</t>
  </si>
  <si>
    <t>Metric</t>
  </si>
  <si>
    <t>Units</t>
  </si>
  <si>
    <t>Normalization / comparability note</t>
  </si>
  <si>
    <t>$mm</t>
  </si>
  <si>
    <t>Comparable as reported; presentation normalized to consistent units.</t>
  </si>
  <si>
    <t>Gross profit — reported</t>
  </si>
  <si>
    <t>Total operating expenses — reported</t>
  </si>
  <si>
    <t>Operating income (loss) — reported</t>
  </si>
  <si>
    <t>Other income (loss), net — reported</t>
  </si>
  <si>
    <t>Income (loss) before income taxes — reported</t>
  </si>
  <si>
    <t>Normalized as a positive expense. In loss years the filing presents the provision in parentheses.</t>
  </si>
  <si>
    <t>Net income (loss) — reported</t>
  </si>
  <si>
    <t>$/share</t>
  </si>
  <si>
    <t>mm shares</t>
  </si>
  <si>
    <t>Sources, normalization notes &amp; validation checks</t>
  </si>
  <si>
    <t>Source ID</t>
  </si>
  <si>
    <t>Periods</t>
  </si>
  <si>
    <t>Source</t>
  </si>
  <si>
    <t>Filing date</t>
  </si>
  <si>
    <t>Statement location</t>
  </si>
  <si>
    <t>URL</t>
  </si>
  <si>
    <t>Overall status</t>
  </si>
  <si>
    <t>SRC-001</t>
  </si>
  <si>
    <t>FY2019</t>
  </si>
  <si>
    <t>Datadog FY2021 Form 10-K</t>
  </si>
  <si>
    <t>Consolidated Statements of Operations p.58; share disclosures p.57–60</t>
  </si>
  <si>
    <t>https://www.sec.gov/Archives/edgar/data/1561550/000156155022000009/ddog-20211231.htm</t>
  </si>
  <si>
    <t>SRC-002</t>
  </si>
  <si>
    <t>FY2020–FY2022</t>
  </si>
  <si>
    <t>Datadog FY2022 Form 10-K</t>
  </si>
  <si>
    <t>https://www.sec.gov/Archives/edgar/data/1561550/000156155023000006/ddog-20221231.htm</t>
  </si>
  <si>
    <t>SRC-003</t>
  </si>
  <si>
    <t>FY2023–FY2025</t>
  </si>
  <si>
    <t>Datadog FY2025 Form 10-K</t>
  </si>
  <si>
    <t>Consolidated Statements of Operations p.63; share disclosures p.62–65</t>
  </si>
  <si>
    <t>https://www.sec.gov/Archives/edgar/data/1561550/000162828026008819/ddog-20251231.htm</t>
  </si>
  <si>
    <t>Normalization notes</t>
  </si>
  <si>
    <t>Topic</t>
  </si>
  <si>
    <t>Treatment</t>
  </si>
  <si>
    <t>Rationale</t>
  </si>
  <si>
    <t>All statement values converted from $000 to $mm; EPS remains $/share; share counts are in millions.</t>
  </si>
  <si>
    <t>Makes the 7-year schedule readable and formula-friendly.</t>
  </si>
  <si>
    <t>Tax line</t>
  </si>
  <si>
    <t>Provision for income taxes is stored as a positive expense and subtracted from pre-tax income.</t>
  </si>
  <si>
    <t>The 2019–2022 source statements display the expense in parentheses during loss years.</t>
  </si>
  <si>
    <t>Validation checks</t>
  </si>
  <si>
    <t>Check ID</t>
  </si>
  <si>
    <t>FY</t>
  </si>
  <si>
    <t>Test</t>
  </si>
  <si>
    <t>Expected</t>
  </si>
  <si>
    <t>Observed</t>
  </si>
  <si>
    <t>Variance</t>
  </si>
  <si>
    <t>Tolerance</t>
  </si>
  <si>
    <t>Status</t>
  </si>
  <si>
    <t>CHK-001</t>
  </si>
  <si>
    <t>Gross profit = revenue − cost of revenue</t>
  </si>
  <si>
    <t>CHK-002</t>
  </si>
  <si>
    <t>CHK-003</t>
  </si>
  <si>
    <t>CHK-004</t>
  </si>
  <si>
    <t>CHK-005</t>
  </si>
  <si>
    <t>CHK-006</t>
  </si>
  <si>
    <t>CHK-007</t>
  </si>
  <si>
    <t>CHK-008</t>
  </si>
  <si>
    <t>Operating expenses = R&amp;D + S&amp;M + G&amp;A</t>
  </si>
  <si>
    <t>CHK-009</t>
  </si>
  <si>
    <t>CHK-010</t>
  </si>
  <si>
    <t>CHK-011</t>
  </si>
  <si>
    <t>CHK-012</t>
  </si>
  <si>
    <t>CHK-013</t>
  </si>
  <si>
    <t>CHK-014</t>
  </si>
  <si>
    <t>CHK-015</t>
  </si>
  <si>
    <t>Operating income = gross profit − operating expenses</t>
  </si>
  <si>
    <t>CHK-016</t>
  </si>
  <si>
    <t>CHK-017</t>
  </si>
  <si>
    <t>CHK-018</t>
  </si>
  <si>
    <t>CHK-019</t>
  </si>
  <si>
    <t>CHK-020</t>
  </si>
  <si>
    <t>CHK-021</t>
  </si>
  <si>
    <t>CHK-022</t>
  </si>
  <si>
    <t>Other income, net = interest expense + interest/other income</t>
  </si>
  <si>
    <t>CHK-023</t>
  </si>
  <si>
    <t>CHK-024</t>
  </si>
  <si>
    <t>CHK-025</t>
  </si>
  <si>
    <t>CHK-026</t>
  </si>
  <si>
    <t>CHK-027</t>
  </si>
  <si>
    <t>CHK-028</t>
  </si>
  <si>
    <t>CHK-029</t>
  </si>
  <si>
    <t>Pre-tax income = operating income + other income, net</t>
  </si>
  <si>
    <t>CHK-030</t>
  </si>
  <si>
    <t>CHK-031</t>
  </si>
  <si>
    <t>CHK-032</t>
  </si>
  <si>
    <t>CHK-033</t>
  </si>
  <si>
    <t>CHK-034</t>
  </si>
  <si>
    <t>CHK-035</t>
  </si>
  <si>
    <t>CHK-036</t>
  </si>
  <si>
    <t>Net income = pre-tax income − tax provision</t>
  </si>
  <si>
    <t>CHK-037</t>
  </si>
  <si>
    <t>CHK-038</t>
  </si>
  <si>
    <t>CHK-039</t>
  </si>
  <si>
    <t>CHK-040</t>
  </si>
  <si>
    <t>CHK-041</t>
  </si>
  <si>
    <t>CHK-042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</si>
</sst>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0;[Red]\(\$#,##0.000\);\-"/>
    <numFmt numFmtId="165" formatCode="\$0.00;[Red]\(\$0.00\);\-"/>
    <numFmt numFmtId="166" formatCode="#,##0.0;[Red]\(#,##0.0\);\-"/>
    <numFmt numFmtId="167" formatCode="\$#,##0.0;[Red]\(\$#,##0.0\);\-"/>
    <numFmt numFmtId="168" formatCode="0.0%;[Red]\(0.0%\);\-"/>
    <numFmt numFmtId="169" formatCode="yyyy\-mm\-dd"/>
  </numFmts>
  <fonts count="13">
    <font>
      <sz val="11"/>
      <name val="Carlito"/>
    </font>
    <font>
      <b/>
      <sz val="16"/>
      <color rgb="FFFFFFFF"/>
      <name val="Carlito"/>
    </font>
    <font>
      <i/>
      <sz val="11"/>
      <color rgb="FF667085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667085"/>
      <name val="Carlito"/>
    </font>
    <font>
      <sz val="11"/>
      <color rgb="FF008000"/>
      <name val="Carlito"/>
    </font>
    <font>
      <b/>
      <sz val="11"/>
      <color rgb="FF000000"/>
      <name val="Carlito"/>
    </font>
    <font>
      <b/>
      <sz val="17"/>
      <color rgb="FFFFFFFF"/>
      <name val="Carlito"/>
    </font>
    <font>
      <b/>
      <sz val="11"/>
      <color rgb="FF1F5A7A"/>
      <name val="Carlito"/>
    </font>
    <font>
      <b/>
      <sz val="17"/>
      <color rgb="FF000000"/>
      <name val="Carlito"/>
    </font>
    <font>
      <sz val="11"/>
      <color rgb="FF0563C1"/>
      <name val="Carlito"/>
    </font>
    <font>
      <b/>
      <sz val="1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F5A7A"/>
      </patternFill>
    </fill>
    <fill>
      <patternFill patternType="solid">
        <fgColor rgb="FFF3F4F6"/>
      </patternFill>
    </fill>
    <fill>
      <patternFill patternType="solid">
        <fgColor rgb="FFE8F5F2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1F5A7A"/>
      </left>
      <right/>
      <top style="thin">
        <color rgb="FF1F5A7A"/>
      </top>
      <bottom style="thin">
        <color rgb="FF1F5A7A"/>
      </bottom>
      <diagonal/>
    </border>
    <border>
      <left/>
      <right/>
      <top style="thin">
        <color rgb="FF1F5A7A"/>
      </top>
      <bottom style="thin">
        <color rgb="FF1F5A7A"/>
      </bottom>
      <diagonal/>
    </border>
    <border>
      <left/>
      <right style="thin">
        <color rgb="FF1F5A7A"/>
      </right>
      <top style="thin">
        <color rgb="FF1F5A7A"/>
      </top>
      <bottom style="thin">
        <color rgb="FF1F5A7A"/>
      </bottom>
      <diagonal/>
    </border>
    <border>
      <left/>
      <right/>
      <top/>
      <bottom style="thin">
        <color rgb="FFEAECF0"/>
      </bottom>
      <diagonal/>
    </border>
    <border>
      <left/>
      <right/>
      <top style="thin">
        <color rgb="FFEAECF0"/>
      </top>
      <bottom style="thin">
        <color rgb="FFEAECF0"/>
      </bottom>
      <diagonal/>
    </border>
    <border>
      <left/>
      <right/>
      <top style="thin">
        <color rgb="FFEAECF0"/>
      </top>
      <bottom style="thin">
        <color rgb="FFD0D5DD"/>
      </bottom>
      <diagonal/>
    </border>
    <border>
      <left/>
      <right/>
      <top style="thin">
        <color rgb="FFEAECF0"/>
      </top>
      <bottom/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3" borderId="0" xfId="0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0" fontId="4" fillId="0" borderId="5" xfId="0" applyFont="1" applyBorder="1"/>
    <xf numFmtId="0" fontId="5" fillId="0" borderId="5" xfId="0" applyFont="1" applyBorder="1" applyAlignment="1">
      <alignment wrapText="1"/>
    </xf>
    <xf numFmtId="0" fontId="4" fillId="0" borderId="6" xfId="0" applyFont="1" applyBorder="1"/>
    <xf numFmtId="0" fontId="5" fillId="0" borderId="6" xfId="0" applyFont="1" applyBorder="1" applyAlignment="1">
      <alignment wrapText="1"/>
    </xf>
    <xf numFmtId="164" fontId="4" fillId="0" borderId="4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0" fillId="0" borderId="4" xfId="0" applyBorder="1"/>
    <xf numFmtId="0" fontId="5" fillId="5" borderId="5" xfId="0" applyFont="1" applyFill="1" applyBorder="1"/>
    <xf numFmtId="0" fontId="0" fillId="0" borderId="5" xfId="0" applyBorder="1"/>
    <xf numFmtId="0" fontId="7" fillId="0" borderId="5" xfId="0" applyFont="1" applyBorder="1"/>
    <xf numFmtId="0" fontId="5" fillId="6" borderId="5" xfId="0" applyFont="1" applyFill="1" applyBorder="1"/>
    <xf numFmtId="0" fontId="5" fillId="5" borderId="7" xfId="0" applyFont="1" applyFill="1" applyBorder="1"/>
    <xf numFmtId="167" fontId="6" fillId="0" borderId="4" xfId="0" applyNumberFormat="1" applyFont="1" applyBorder="1" applyAlignment="1">
      <alignment horizontal="right"/>
    </xf>
    <xf numFmtId="168" fontId="5" fillId="5" borderId="5" xfId="0" applyNumberFormat="1" applyFont="1" applyFill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7" fontId="7" fillId="0" borderId="5" xfId="0" applyNumberFormat="1" applyFon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8" fontId="5" fillId="6" borderId="5" xfId="0" applyNumberFormat="1" applyFont="1" applyFill="1" applyBorder="1" applyAlignment="1">
      <alignment horizontal="right"/>
    </xf>
    <xf numFmtId="0" fontId="0" fillId="0" borderId="5" xfId="0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6" fontId="6" fillId="0" borderId="5" xfId="0" applyNumberFormat="1" applyFont="1" applyBorder="1" applyAlignment="1">
      <alignment horizontal="right"/>
    </xf>
    <xf numFmtId="168" fontId="5" fillId="5" borderId="7" xfId="0" applyNumberFormat="1" applyFont="1" applyFill="1" applyBorder="1" applyAlignment="1">
      <alignment horizontal="right"/>
    </xf>
    <xf numFmtId="0" fontId="0" fillId="0" borderId="7" xfId="0" applyBorder="1"/>
    <xf numFmtId="0" fontId="0" fillId="0" borderId="4" xfId="0" applyBorder="1" applyAlignment="1">
      <alignment wrapText="1"/>
    </xf>
    <xf numFmtId="169" fontId="0" fillId="0" borderId="4" xfId="0" applyNumberFormat="1" applyBorder="1" applyAlignment="1">
      <alignment wrapText="1"/>
    </xf>
    <xf numFmtId="0" fontId="0" fillId="0" borderId="5" xfId="0" applyBorder="1" applyAlignment="1">
      <alignment wrapText="1"/>
    </xf>
    <xf numFmtId="169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69" fontId="0" fillId="0" borderId="7" xfId="0" applyNumberForma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9" fillId="6" borderId="4" xfId="0" applyFont="1" applyFill="1" applyBorder="1" applyAlignment="1">
      <alignment wrapText="1"/>
    </xf>
    <xf numFmtId="164" fontId="6" fillId="0" borderId="4" xfId="0" applyNumberFormat="1" applyFont="1" applyBorder="1"/>
    <xf numFmtId="164" fontId="0" fillId="0" borderId="4" xfId="0" applyNumberFormat="1" applyBorder="1"/>
    <xf numFmtId="164" fontId="6" fillId="0" borderId="5" xfId="0" applyNumberFormat="1" applyFont="1" applyBorder="1"/>
    <xf numFmtId="164" fontId="0" fillId="0" borderId="5" xfId="0" applyNumberFormat="1" applyBorder="1"/>
    <xf numFmtId="164" fontId="6" fillId="0" borderId="7" xfId="0" applyNumberFormat="1" applyFont="1" applyBorder="1"/>
    <xf numFmtId="164" fontId="0" fillId="0" borderId="7" xfId="0" applyNumberFormat="1" applyBorder="1"/>
    <xf numFmtId="0" fontId="9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8" fillId="2" borderId="0" xfId="0" applyFont="1" applyFill="1" applyAlignment="1">
      <alignment vertical="center"/>
    </xf>
    <xf numFmtId="0" fontId="2" fillId="0" borderId="0" xfId="0" applyFont="1"/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168" fontId="10" fillId="7" borderId="10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165" fontId="10" fillId="7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167" fontId="3" fillId="2" borderId="5" xfId="0" applyNumberFormat="1" applyFont="1" applyFill="1" applyBorder="1" applyAlignment="1">
      <alignment horizontal="right" vertical="center"/>
    </xf>
    <xf numFmtId="0" fontId="3" fillId="2" borderId="0" xfId="0" applyFont="1" applyFill="1"/>
  </cellXfs>
  <cellStyles count="1">
    <cellStyle name="Normal" xfId="0" builtinId="0"/>
  </cellStyles>
  <dxfs count="7"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067647"/>
      </font>
      <fill>
        <patternFill patternType="solid">
          <bgColor rgb="FFEAF7EE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067647"/>
      </font>
      <fill>
        <patternFill patternType="solid">
          <bgColor rgb="FFEAF7EE"/>
        </patternFill>
      </fill>
    </dxf>
    <dxf>
      <font>
        <color rgb="FFB42318"/>
      </font>
      <fill>
        <patternFill patternType="solid">
          <bgColor rgb="FFFDECEC"/>
        </patternFill>
      </fill>
    </dxf>
    <dxf>
      <font>
        <color rgb="FFB42318"/>
      </font>
      <fill>
        <patternFill patternType="solid">
          <bgColor rgb="FFFDECEC"/>
        </patternFill>
      </fill>
    </dxf>
    <dxf>
      <font>
        <color rgb="FFB42318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900"/>
              <a:t>Revenue and gross profit ($mm)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Statement'!$B$8:$H$8</c:f>
              <c:numCache>
                <c:formatCode>\$#\ ##0.0;[Red]\(\$#\ ##0.0\);\-</c:formatCode>
                <c:ptCount val="7"/>
                <c:pt idx="0">
                  <c:v>362.78</c:v>
                </c:pt>
                <c:pt idx="1">
                  <c:v>603.46600000000001</c:v>
                </c:pt>
                <c:pt idx="2">
                  <c:v>1028.7840000000001</c:v>
                </c:pt>
                <c:pt idx="3">
                  <c:v>1675.1</c:v>
                </c:pt>
                <c:pt idx="4">
                  <c:v>2128.3589999999999</c:v>
                </c:pt>
                <c:pt idx="5">
                  <c:v>2684.2750000000001</c:v>
                </c:pt>
                <c:pt idx="6">
                  <c:v>3427.1579999999999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2F-5148-B122-EE7A5EE633E2}"/>
            </c:ext>
          </c:extLst>
        </c:ser>
        <c:ser>
          <c:idx val="1"/>
          <c:order val="1"/>
          <c:tx>
            <c:v>Gross profit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Statement'!$B$12:$H$12</c:f>
              <c:numCache>
                <c:formatCode>\$#\ ##0.0;[Red]\(\$#\ ##0.0\);\-</c:formatCode>
                <c:ptCount val="7"/>
                <c:pt idx="0">
                  <c:v>273.83099999999996</c:v>
                </c:pt>
                <c:pt idx="1">
                  <c:v>473.26900000000001</c:v>
                </c:pt>
                <c:pt idx="2">
                  <c:v>794.5390000000001</c:v>
                </c:pt>
                <c:pt idx="3">
                  <c:v>1328.357</c:v>
                </c:pt>
                <c:pt idx="4">
                  <c:v>1718.451</c:v>
                </c:pt>
                <c:pt idx="5">
                  <c:v>2168.7440000000001</c:v>
                </c:pt>
                <c:pt idx="6">
                  <c:v>2740.201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2F-5148-B122-EE7A5EE63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;[Red]\(\$#\ 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900"/>
              <a:t>Margin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Gross margin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Statement'!$B$13:$H$13</c:f>
              <c:numCache>
                <c:formatCode>0.0%;[Red]\(0.0%\);\-</c:formatCode>
                <c:ptCount val="7"/>
                <c:pt idx="0">
                  <c:v>0.75481283422459888</c:v>
                </c:pt>
                <c:pt idx="1">
                  <c:v>0.78425130827585976</c:v>
                </c:pt>
                <c:pt idx="2">
                  <c:v>0.7723088617241326</c:v>
                </c:pt>
                <c:pt idx="3">
                  <c:v>0.79300161184406903</c:v>
                </c:pt>
                <c:pt idx="4">
                  <c:v>0.80740655124440941</c:v>
                </c:pt>
                <c:pt idx="5">
                  <c:v>0.80794404448128454</c:v>
                </c:pt>
                <c:pt idx="6">
                  <c:v>0.79955490817756292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32-AC42-B25B-4D938353DE0F}"/>
            </c:ext>
          </c:extLst>
        </c:ser>
        <c:ser>
          <c:idx val="1"/>
          <c:order val="1"/>
          <c:tx>
            <c:v>Operating margin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Statement'!$B$25:$H$25</c:f>
              <c:numCache>
                <c:formatCode>0.0%;[Red]\(0.0%\);\-</c:formatCode>
                <c:ptCount val="7"/>
                <c:pt idx="0">
                  <c:v>-5.5515739566679656E-2</c:v>
                </c:pt>
                <c:pt idx="1">
                  <c:v>-2.28231582226671E-2</c:v>
                </c:pt>
                <c:pt idx="2">
                  <c:v>-1.8620040747134428E-2</c:v>
                </c:pt>
                <c:pt idx="3">
                  <c:v>-3.5039699122440551E-2</c:v>
                </c:pt>
                <c:pt idx="4">
                  <c:v>-1.5722911407333041E-2</c:v>
                </c:pt>
                <c:pt idx="5">
                  <c:v>2.0222965232697881E-2</c:v>
                </c:pt>
                <c:pt idx="6">
                  <c:v>-1.2947462591453207E-2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32-AC42-B25B-4D938353DE0F}"/>
            </c:ext>
          </c:extLst>
        </c:ser>
        <c:ser>
          <c:idx val="2"/>
          <c:order val="2"/>
          <c:tx>
            <c:v>Net margin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Statement'!$B$36:$H$36</c:f>
              <c:numCache>
                <c:formatCode>0.0%;[Red]\(0.0%\);\-</c:formatCode>
                <c:ptCount val="7"/>
                <c:pt idx="0">
                  <c:v>-4.6060973592811194E-2</c:v>
                </c:pt>
                <c:pt idx="1">
                  <c:v>-4.0676690981762062E-2</c:v>
                </c:pt>
                <c:pt idx="2">
                  <c:v>-2.0164582652918345E-2</c:v>
                </c:pt>
                <c:pt idx="3">
                  <c:v>-2.9944480926511953E-2</c:v>
                </c:pt>
                <c:pt idx="4">
                  <c:v>2.2819458559387804E-2</c:v>
                </c:pt>
                <c:pt idx="5">
                  <c:v>6.8452747948701265E-2</c:v>
                </c:pt>
                <c:pt idx="6">
                  <c:v>3.1437418409072597E-2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32-AC42-B25B-4D938353D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900"/>
              <a:t>Diluted EPS ($/share)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Diluted EPS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Statement'!$B$39:$H$39</c:f>
              <c:numCache>
                <c:formatCode>\$0.00;[Red]\(\$0.00\);\-</c:formatCode>
                <c:ptCount val="7"/>
                <c:pt idx="0">
                  <c:v>-0.12</c:v>
                </c:pt>
                <c:pt idx="1">
                  <c:v>-0.08</c:v>
                </c:pt>
                <c:pt idx="2">
                  <c:v>-7.0000000000000007E-2</c:v>
                </c:pt>
                <c:pt idx="3">
                  <c:v>-0.16</c:v>
                </c:pt>
                <c:pt idx="4">
                  <c:v>0.14000000000000001</c:v>
                </c:pt>
                <c:pt idx="5">
                  <c:v>0.52</c:v>
                </c:pt>
                <c:pt idx="6">
                  <c:v>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19-F246-8E47-B7566D54D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;[Red]\(\$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900"/>
              <a:t>Share-count trend (mm)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Weighted avg diluted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Statement'!$B$42:$H$42</c:f>
              <c:numCache>
                <c:formatCode>#\ ##0.0;[Red]\(#\ ##0.0\);\-</c:formatCode>
                <c:ptCount val="7"/>
                <c:pt idx="0">
                  <c:v>139.87299999999999</c:v>
                </c:pt>
                <c:pt idx="1">
                  <c:v>300.35000000000002</c:v>
                </c:pt>
                <c:pt idx="2">
                  <c:v>309.048</c:v>
                </c:pt>
                <c:pt idx="3">
                  <c:v>315.41000000000003</c:v>
                </c:pt>
                <c:pt idx="4">
                  <c:v>350.29199999999997</c:v>
                </c:pt>
                <c:pt idx="5">
                  <c:v>358.63600000000002</c:v>
                </c:pt>
                <c:pt idx="6">
                  <c:v>363.47199999999998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76-7B46-8311-AE71B1BA6917}"/>
            </c:ext>
          </c:extLst>
        </c:ser>
        <c:ser>
          <c:idx val="1"/>
          <c:order val="1"/>
          <c:tx>
            <c:v>Year-end shares</c:v>
          </c:tx>
          <c:marker>
            <c:symbol val="none"/>
          </c:marker>
          <c:cat>
            <c:numRef>
              <c:f>'Income Statement'!$B$5:$H$5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'Income Statement'!$B$44:$H$44</c:f>
              <c:numCache>
                <c:formatCode>#\ ##0.0;[Red]\(#\ ##0.0\);\-</c:formatCode>
                <c:ptCount val="7"/>
                <c:pt idx="0">
                  <c:v>296.38695000000001</c:v>
                </c:pt>
                <c:pt idx="1">
                  <c:v>305.88006300000001</c:v>
                </c:pt>
                <c:pt idx="2">
                  <c:v>313.36543699999999</c:v>
                </c:pt>
                <c:pt idx="3">
                  <c:v>319.189843</c:v>
                </c:pt>
                <c:pt idx="4">
                  <c:v>331.079746</c:v>
                </c:pt>
                <c:pt idx="5">
                  <c:v>342.11878200000001</c:v>
                </c:pt>
                <c:pt idx="6">
                  <c:v>352.52597100000003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76-7B46-8311-AE71B1BA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1422400</xdr:colOff>
      <xdr:row>43</xdr:row>
      <xdr:rowOff>25400</xdr:rowOff>
    </xdr:to>
    <xdr:sp macro="" textlink="">
      <xdr:nvSpPr>
        <xdr:cNvPr id="2182" name="Text Box 134" hidden="1">
          <a:extLst>
            <a:ext uri="{FF2B5EF4-FFF2-40B4-BE49-F238E27FC236}">
              <a16:creationId xmlns:a16="http://schemas.microsoft.com/office/drawing/2014/main" id="{F3E5B055-5816-5E83-6BBB-7E7C09668D6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ras Vynnychuk" id="{B2798916-B261-40FB-A48A-CAF30B913DA7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7-28T17:48:11.38" personId="{B2798916-B261-40FB-A48A-CAF30B913DA7}" id="{C50F9023-6437-AA4C-F6E7-7FA4FAB09F01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5" dT="2026-07-28T17:48:11.38" personId="{B2798916-B261-40FB-A48A-CAF30B913DA7}" id="{C255DC55-2DB7-3151-9413-7D6F28ADC47E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5" dT="2026-07-28T17:48:11.38" personId="{B2798916-B261-40FB-A48A-CAF30B913DA7}" id="{F650E189-D98C-94CB-DD2A-863CD48AB72C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5" dT="2026-07-28T17:48:11.38" personId="{B2798916-B261-40FB-A48A-CAF30B913DA7}" id="{CFAD09CA-A5AF-03D6-6AB1-BAC800A1D76E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5" dT="2026-07-28T17:48:11.38" personId="{B2798916-B261-40FB-A48A-CAF30B913DA7}" id="{5180B144-5A76-E428-9B9C-25B1D3BB0DB4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5" dT="2026-07-28T17:48:11.38" personId="{B2798916-B261-40FB-A48A-CAF30B913DA7}" id="{378F2854-96AC-462E-3B72-3BF1479388CB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5" dT="2026-07-28T17:48:11.38" personId="{B2798916-B261-40FB-A48A-CAF30B913DA7}" id="{D0F3B88F-26C0-565A-36A3-A384F3A8AD93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6" dT="2026-07-28T17:48:11.38" personId="{B2798916-B261-40FB-A48A-CAF30B913DA7}" id="{4BE5420B-5C1A-CE70-A4A3-6676050160A9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6" dT="2026-07-28T17:48:11.38" personId="{B2798916-B261-40FB-A48A-CAF30B913DA7}" id="{FF93B168-E223-8714-1325-2B9653525799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6" dT="2026-07-28T17:48:11.38" personId="{B2798916-B261-40FB-A48A-CAF30B913DA7}" id="{5701A57A-49AF-7203-EC89-DD217AC120B8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6" dT="2026-07-28T17:48:11.38" personId="{B2798916-B261-40FB-A48A-CAF30B913DA7}" id="{F6C02F14-83AB-C853-018B-975559A6FC2E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6" dT="2026-07-28T17:48:11.38" personId="{B2798916-B261-40FB-A48A-CAF30B913DA7}" id="{7C779C18-1B86-ABAD-85E5-00D862EB34C5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6" dT="2026-07-28T17:48:11.38" personId="{B2798916-B261-40FB-A48A-CAF30B913DA7}" id="{B785EE0E-E6DE-E1A9-DD78-094DF14BB407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6" dT="2026-07-28T17:48:11.38" personId="{B2798916-B261-40FB-A48A-CAF30B913DA7}" id="{48B3180E-BDA9-3CC3-CE9D-A7F4494F03C0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7" dT="2026-07-28T17:48:11.38" personId="{B2798916-B261-40FB-A48A-CAF30B913DA7}" id="{4CD45E93-A475-77C5-4F73-F7E44BC2705B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7" dT="2026-07-28T17:48:11.38" personId="{B2798916-B261-40FB-A48A-CAF30B913DA7}" id="{3B637A93-F16B-CE76-3CCF-53FACB2F8224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7" dT="2026-07-28T17:48:11.38" personId="{B2798916-B261-40FB-A48A-CAF30B913DA7}" id="{DCF6D39E-4489-CD40-48BE-D9AB40FEF3F1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7" dT="2026-07-28T17:48:11.38" personId="{B2798916-B261-40FB-A48A-CAF30B913DA7}" id="{1AD86106-95CA-F63C-708E-642963288AB8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7" dT="2026-07-28T17:48:11.38" personId="{B2798916-B261-40FB-A48A-CAF30B913DA7}" id="{801E76A6-D644-0D04-EA07-152408BA76DF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7" dT="2026-07-28T17:48:11.38" personId="{B2798916-B261-40FB-A48A-CAF30B913DA7}" id="{4DCC2EDF-6EED-74AA-7EBD-89818B810AD4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7" dT="2026-07-28T17:48:11.38" personId="{B2798916-B261-40FB-A48A-CAF30B913DA7}" id="{865C73BB-9D85-F368-3E79-F71030B546CB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8" dT="2026-07-28T17:48:11.38" personId="{B2798916-B261-40FB-A48A-CAF30B913DA7}" id="{9E71D6A2-EB72-BB49-01AE-F96765C7D747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8" dT="2026-07-28T17:48:11.38" personId="{B2798916-B261-40FB-A48A-CAF30B913DA7}" id="{8C439502-E32C-049A-CF38-F3A228EC5487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8" dT="2026-07-28T17:48:11.38" personId="{B2798916-B261-40FB-A48A-CAF30B913DA7}" id="{B22FF55F-F735-1152-06FD-B1478E51907D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8" dT="2026-07-28T17:48:11.38" personId="{B2798916-B261-40FB-A48A-CAF30B913DA7}" id="{BAC9B6BE-39A7-0BB6-D41E-0C5BE8D7BE63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8" dT="2026-07-28T17:48:11.38" personId="{B2798916-B261-40FB-A48A-CAF30B913DA7}" id="{5883049D-491A-A17B-FDA7-93871E45D248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8" dT="2026-07-28T17:48:11.38" personId="{B2798916-B261-40FB-A48A-CAF30B913DA7}" id="{4AB35C86-331B-CBD7-FA6F-5920D4FDE5CE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8" dT="2026-07-28T17:48:11.38" personId="{B2798916-B261-40FB-A48A-CAF30B913DA7}" id="{6DDB2D41-5361-99FA-0A12-F6AC91EA1E4A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9" dT="2026-07-28T17:48:11.38" personId="{B2798916-B261-40FB-A48A-CAF30B913DA7}" id="{5F0FD500-F2EB-9962-E678-E3A87632F1C8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9" dT="2026-07-28T17:48:11.38" personId="{B2798916-B261-40FB-A48A-CAF30B913DA7}" id="{445621AF-C174-05D4-536A-C6E0EAEEBEF4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9" dT="2026-07-28T17:48:11.38" personId="{B2798916-B261-40FB-A48A-CAF30B913DA7}" id="{B208B102-9B35-2744-E032-611EE102C51B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9" dT="2026-07-28T17:48:11.38" personId="{B2798916-B261-40FB-A48A-CAF30B913DA7}" id="{4B67F7CC-A13F-33CB-C382-5106E74CAB8E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9" dT="2026-07-28T17:48:11.38" personId="{B2798916-B261-40FB-A48A-CAF30B913DA7}" id="{393AEBCC-F456-9277-A5C2-166F5813CA5D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9" dT="2026-07-28T17:48:11.38" personId="{B2798916-B261-40FB-A48A-CAF30B913DA7}" id="{D81874C5-EC66-CDF3-FFF1-863E0620FEF2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9" dT="2026-07-28T17:48:11.38" personId="{B2798916-B261-40FB-A48A-CAF30B913DA7}" id="{8ACBFA74-46D1-660C-22B7-BB3DBA7B2D84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0" dT="2026-07-28T17:48:11.38" personId="{B2798916-B261-40FB-A48A-CAF30B913DA7}" id="{422C1B79-56CD-B9E4-5DDD-451C4BAD27AF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0" dT="2026-07-28T17:48:11.38" personId="{B2798916-B261-40FB-A48A-CAF30B913DA7}" id="{7775C29B-197C-5684-0FE6-12B2F1DA68A9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0" dT="2026-07-28T17:48:11.38" personId="{B2798916-B261-40FB-A48A-CAF30B913DA7}" id="{4D557671-1EEB-7938-0F29-1DE4AD18F997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0" dT="2026-07-28T17:48:11.38" personId="{B2798916-B261-40FB-A48A-CAF30B913DA7}" id="{FEFB5D0E-F96B-2A27-2CC4-C3DA14964B8D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0" dT="2026-07-28T17:48:11.38" personId="{B2798916-B261-40FB-A48A-CAF30B913DA7}" id="{C0E7A17C-DE26-18B8-4A4F-0A391D980063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0" dT="2026-07-28T17:48:11.38" personId="{B2798916-B261-40FB-A48A-CAF30B913DA7}" id="{EB9B3CE5-9190-D53C-3E6E-0EA44E7C2677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0" dT="2026-07-28T17:48:11.38" personId="{B2798916-B261-40FB-A48A-CAF30B913DA7}" id="{702D5B0C-8AD4-D819-6591-B68C0C65CF20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1" dT="2026-07-28T17:48:11.38" personId="{B2798916-B261-40FB-A48A-CAF30B913DA7}" id="{1754A7C1-6FA1-284D-E873-F6F5216148B8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1" dT="2026-07-28T17:48:11.38" personId="{B2798916-B261-40FB-A48A-CAF30B913DA7}" id="{18D2FAE4-3981-24F3-83D0-411599EB3023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1" dT="2026-07-28T17:48:11.38" personId="{B2798916-B261-40FB-A48A-CAF30B913DA7}" id="{56190973-23A2-1B9C-F7F2-67922C25975E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1" dT="2026-07-28T17:48:11.38" personId="{B2798916-B261-40FB-A48A-CAF30B913DA7}" id="{B42C3CB9-79F1-0C32-3D07-BFA4554587FB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1" dT="2026-07-28T17:48:11.38" personId="{B2798916-B261-40FB-A48A-CAF30B913DA7}" id="{385BB4F6-B547-570E-93C7-87B25597F89A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1" dT="2026-07-28T17:48:11.38" personId="{B2798916-B261-40FB-A48A-CAF30B913DA7}" id="{120210B9-4582-E3ED-B9FB-968C55058B79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1" dT="2026-07-28T17:48:11.38" personId="{B2798916-B261-40FB-A48A-CAF30B913DA7}" id="{FFC6A5F2-4BED-5468-42C4-E9C97B7B505D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2" dT="2026-07-28T17:48:11.38" personId="{B2798916-B261-40FB-A48A-CAF30B913DA7}" id="{447EAB22-344B-2076-A1AF-C7736AEF7628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2" dT="2026-07-28T17:48:11.38" personId="{B2798916-B261-40FB-A48A-CAF30B913DA7}" id="{B37B4A03-DC00-377F-25AD-264C40FADFC4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2" dT="2026-07-28T17:48:11.38" personId="{B2798916-B261-40FB-A48A-CAF30B913DA7}" id="{8BF66403-2F54-F9F4-2D36-2C24BDEBF833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2" dT="2026-07-28T17:48:11.38" personId="{B2798916-B261-40FB-A48A-CAF30B913DA7}" id="{4CDADCE3-7D20-853A-75AD-56AA0D1CF814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2" dT="2026-07-28T17:48:11.38" personId="{B2798916-B261-40FB-A48A-CAF30B913DA7}" id="{1048F1EE-AF7D-9897-06C9-B05616D09367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2" dT="2026-07-28T17:48:11.38" personId="{B2798916-B261-40FB-A48A-CAF30B913DA7}" id="{BE48F2E0-5D45-184C-69CA-703682E7D452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2" dT="2026-07-28T17:48:11.38" personId="{B2798916-B261-40FB-A48A-CAF30B913DA7}" id="{C19AB419-2A0A-9848-C16B-474CEAA436A2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3" dT="2026-07-28T17:48:11.38" personId="{B2798916-B261-40FB-A48A-CAF30B913DA7}" id="{8A2BD3C3-8475-B917-8443-A15DDDDD667D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3" dT="2026-07-28T17:48:11.38" personId="{B2798916-B261-40FB-A48A-CAF30B913DA7}" id="{2DE5DD51-A79C-B8A2-2324-530C0C85EC28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3" dT="2026-07-28T17:48:11.38" personId="{B2798916-B261-40FB-A48A-CAF30B913DA7}" id="{39594BE8-BF47-5760-2E29-9BFEEE0B7B5E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3" dT="2026-07-28T17:48:11.38" personId="{B2798916-B261-40FB-A48A-CAF30B913DA7}" id="{E8AD6273-2E45-1757-4BD5-749C28F6883C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3" dT="2026-07-28T17:48:11.38" personId="{B2798916-B261-40FB-A48A-CAF30B913DA7}" id="{3615959E-59B5-0F1E-37EF-25080DFACDE7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3" dT="2026-07-28T17:48:11.38" personId="{B2798916-B261-40FB-A48A-CAF30B913DA7}" id="{99B6988D-A09F-F5B1-D336-9982132E70A4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3" dT="2026-07-28T17:48:11.38" personId="{B2798916-B261-40FB-A48A-CAF30B913DA7}" id="{D8FA529C-CE8C-D2A6-6A1D-DC2AA2F72519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4" dT="2026-07-28T17:48:11.38" personId="{B2798916-B261-40FB-A48A-CAF30B913DA7}" id="{D34AFBAA-E4F5-A793-83A1-FCBAC2E2BACE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4" dT="2026-07-28T17:48:11.38" personId="{B2798916-B261-40FB-A48A-CAF30B913DA7}" id="{0F19C4E5-6188-9674-9C68-A6ABBE19A8B8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4" dT="2026-07-28T17:48:11.38" personId="{B2798916-B261-40FB-A48A-CAF30B913DA7}" id="{C66D9804-042A-F06C-0866-65B515181DFF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4" dT="2026-07-28T17:48:11.38" personId="{B2798916-B261-40FB-A48A-CAF30B913DA7}" id="{016BD530-5863-C769-7015-AA54551AF31B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4" dT="2026-07-28T17:48:11.38" personId="{B2798916-B261-40FB-A48A-CAF30B913DA7}" id="{DEDB3C7C-B900-D964-A232-4C3E7AEEFA9E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4" dT="2026-07-28T17:48:11.38" personId="{B2798916-B261-40FB-A48A-CAF30B913DA7}" id="{AA785D30-0E05-CFB2-4D1F-CBDF60BF9498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4" dT="2026-07-28T17:48:11.38" personId="{B2798916-B261-40FB-A48A-CAF30B913DA7}" id="{F052D944-5DF9-4529-8154-4B5A2D041375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5" dT="2026-07-28T17:48:11.38" personId="{B2798916-B261-40FB-A48A-CAF30B913DA7}" id="{11BE68B7-72DF-28D0-8E8D-7D5F71909C7A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5" dT="2026-07-28T17:48:11.38" personId="{B2798916-B261-40FB-A48A-CAF30B913DA7}" id="{6165DA7D-F2D8-57DF-F141-9758F43C25A7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5" dT="2026-07-28T17:48:11.38" personId="{B2798916-B261-40FB-A48A-CAF30B913DA7}" id="{09B92030-B083-1235-3099-2AD13918939D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5" dT="2026-07-28T17:48:11.38" personId="{B2798916-B261-40FB-A48A-CAF30B913DA7}" id="{52F77BB6-6E19-5B38-C0CC-3FBF5E531A03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5" dT="2026-07-28T17:48:11.38" personId="{B2798916-B261-40FB-A48A-CAF30B913DA7}" id="{F22697C1-7CA7-AFC8-01AC-BBFC62CC1B08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5" dT="2026-07-28T17:48:11.38" personId="{B2798916-B261-40FB-A48A-CAF30B913DA7}" id="{D19550EC-B7BA-9E42-69C6-3B0DB9D2E9B5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5" dT="2026-07-28T17:48:11.38" personId="{B2798916-B261-40FB-A48A-CAF30B913DA7}" id="{563BE390-3C50-9C89-D238-6D9E3A98AE40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6" dT="2026-07-28T17:48:11.38" personId="{B2798916-B261-40FB-A48A-CAF30B913DA7}" id="{C9DE64E8-8BD6-DE1E-7C98-6853EDB0DA0E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6" dT="2026-07-28T17:48:11.38" personId="{B2798916-B261-40FB-A48A-CAF30B913DA7}" id="{142D2E40-C027-4224-5E8F-BB1911A5A005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6" dT="2026-07-28T17:48:11.38" personId="{B2798916-B261-40FB-A48A-CAF30B913DA7}" id="{5369E9C8-EDF3-EE4C-FD0C-E2F1FB1D2A45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6" dT="2026-07-28T17:48:11.38" personId="{B2798916-B261-40FB-A48A-CAF30B913DA7}" id="{849A4975-98EB-160A-94D7-4868E5BC7B7A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6" dT="2026-07-28T17:48:11.38" personId="{B2798916-B261-40FB-A48A-CAF30B913DA7}" id="{9D9ED7A1-1021-2AD0-2FCC-D9C5DB71955E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6" dT="2026-07-28T17:48:11.38" personId="{B2798916-B261-40FB-A48A-CAF30B913DA7}" id="{F88B6466-EB4A-5B90-12F4-752D3C2949DC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6" dT="2026-07-28T17:48:11.38" personId="{B2798916-B261-40FB-A48A-CAF30B913DA7}" id="{F5D90804-F06B-1440-1C79-C20DD2F6C5BB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7" dT="2026-07-28T17:48:11.38" personId="{B2798916-B261-40FB-A48A-CAF30B913DA7}" id="{26A8AF60-7CED-36EE-9473-3093DD06084C}">
    <text>SRC-001 | Datadog Form 10-K | FY2019 | Consolidated Statements of Operations | https://www.sec.gov/Archives/edgar/data/1561550/000156155022000009/ddog-20211231.htm | Retrieved 2026-07-28. Normalized from source units to $mm. Normalized as a positive expense. In loss years the filing presents the provision in parentheses.</text>
  </threadedComment>
  <threadedComment ref="C17" dT="2026-07-28T17:48:11.38" personId="{B2798916-B261-40FB-A48A-CAF30B913DA7}" id="{5D6D966F-9E10-09D2-89A1-051BC9AA54CA}">
    <text>SRC-002 | Datadog Form 10-K | FY2020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ext>
  </threadedComment>
  <threadedComment ref="D17" dT="2026-07-28T17:48:11.38" personId="{B2798916-B261-40FB-A48A-CAF30B913DA7}" id="{063454E0-3FFC-66BF-4F94-0E0153B85F2C}">
    <text>SRC-002 | Datadog Form 10-K | FY2021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ext>
  </threadedComment>
  <threadedComment ref="E17" dT="2026-07-28T17:48:11.38" personId="{B2798916-B261-40FB-A48A-CAF30B913DA7}" id="{4E577162-876C-F181-020A-218100994D27}">
    <text>SRC-002 | Datadog Form 10-K | FY2022 | Consolidated Statements of Operations | https://www.sec.gov/Archives/edgar/data/1561550/000156155023000006/ddog-20221231.htm | Retrieved 2026-07-28. Normalized from source units to $mm. Normalized as a positive expense. In loss years the filing presents the provision in parentheses.</text>
  </threadedComment>
  <threadedComment ref="F17" dT="2026-07-28T17:48:11.38" personId="{B2798916-B261-40FB-A48A-CAF30B913DA7}" id="{BF58056F-F370-E4F2-13E9-082F68E86190}">
    <text>SRC-003 | Datadog Form 10-K | FY2023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ext>
  </threadedComment>
  <threadedComment ref="G17" dT="2026-07-28T17:48:11.38" personId="{B2798916-B261-40FB-A48A-CAF30B913DA7}" id="{64095062-D63D-1DE7-7148-6697380AC2B1}">
    <text>SRC-003 | Datadog Form 10-K | FY2024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ext>
  </threadedComment>
  <threadedComment ref="H17" dT="2026-07-28T17:48:11.38" personId="{B2798916-B261-40FB-A48A-CAF30B913DA7}" id="{9178775C-93A4-018C-E93A-9AE722DECBB6}">
    <text>SRC-003 | Datadog Form 10-K | FY2025 | Consolidated Statements of Operations | https://www.sec.gov/Archives/edgar/data/1561550/000162828026008819/ddog-20251231.htm | Retrieved 2026-07-28. Normalized from source units to $mm. Normalized as a positive expense. In loss years the filing presents the provision in parentheses.</text>
  </threadedComment>
  <threadedComment ref="B18" dT="2026-07-28T17:48:11.38" personId="{B2798916-B261-40FB-A48A-CAF30B913DA7}" id="{4FA229DE-9006-44CA-9393-A49AFB36FBB4}">
    <text>SRC-001 | Datadog Form 10-K | FY2019 | Consolidated Statements of Operations | https://www.sec.gov/Archives/edgar/data/1561550/000156155022000009/ddog-20211231.htm | Retrieved 2026-07-28. Normalized from source units to $mm.</text>
  </threadedComment>
  <threadedComment ref="C18" dT="2026-07-28T17:48:11.38" personId="{B2798916-B261-40FB-A48A-CAF30B913DA7}" id="{8DE9D64A-ECBB-EB25-E4AC-D446616460D6}">
    <text>SRC-002 | Datadog Form 10-K | FY2020 | Consolidated Statements of Operations | https://www.sec.gov/Archives/edgar/data/1561550/000156155023000006/ddog-20221231.htm | Retrieved 2026-07-28. Normalized from source units to $mm.</text>
  </threadedComment>
  <threadedComment ref="D18" dT="2026-07-28T17:48:11.38" personId="{B2798916-B261-40FB-A48A-CAF30B913DA7}" id="{A8F4C953-E220-B592-0489-769F85FBA476}">
    <text>SRC-002 | Datadog Form 10-K | FY2021 | Consolidated Statements of Operations | https://www.sec.gov/Archives/edgar/data/1561550/000156155023000006/ddog-20221231.htm | Retrieved 2026-07-28. Normalized from source units to $mm.</text>
  </threadedComment>
  <threadedComment ref="E18" dT="2026-07-28T17:48:11.38" personId="{B2798916-B261-40FB-A48A-CAF30B913DA7}" id="{B1783A1A-DE1E-A49C-D810-95F989C3A0FF}">
    <text>SRC-002 | Datadog Form 10-K | FY2022 | Consolidated Statements of Operations | https://www.sec.gov/Archives/edgar/data/1561550/000156155023000006/ddog-20221231.htm | Retrieved 2026-07-28. Normalized from source units to $mm.</text>
  </threadedComment>
  <threadedComment ref="F18" dT="2026-07-28T17:48:11.38" personId="{B2798916-B261-40FB-A48A-CAF30B913DA7}" id="{ABC022EF-F2D6-2EE3-5173-F966C0960995}">
    <text>SRC-003 | Datadog Form 10-K | FY2023 | Consolidated Statements of Operations | https://www.sec.gov/Archives/edgar/data/1561550/000162828026008819/ddog-20251231.htm | Retrieved 2026-07-28. Normalized from source units to $mm.</text>
  </threadedComment>
  <threadedComment ref="G18" dT="2026-07-28T17:48:11.38" personId="{B2798916-B261-40FB-A48A-CAF30B913DA7}" id="{A96DC428-6B8C-00E6-EFDF-70D3B1842AAB}">
    <text>SRC-003 | Datadog Form 10-K | FY2024 | Consolidated Statements of Operations | https://www.sec.gov/Archives/edgar/data/1561550/000162828026008819/ddog-20251231.htm | Retrieved 2026-07-28. Normalized from source units to $mm.</text>
  </threadedComment>
  <threadedComment ref="H18" dT="2026-07-28T17:48:11.38" personId="{B2798916-B261-40FB-A48A-CAF30B913DA7}" id="{F67C3278-BC80-7B91-07C6-DE7C0F5C0C32}">
    <text>SRC-003 | Datadog Form 10-K | FY2025 | Consolidated Statements of Operations | https://www.sec.gov/Archives/edgar/data/1561550/000162828026008819/ddog-20251231.htm | Retrieved 2026-07-28. Normalized from source units to $mm.</text>
  </threadedComment>
  <threadedComment ref="B19" dT="2026-07-28T17:48:11.38" personId="{B2798916-B261-40FB-A48A-CAF30B913DA7}" id="{B7842B1E-859F-CA32-9F10-CDECFA98B83F}">
    <text>SRC-001 | Datadog Form 10-K | FY2019 | Consolidated Statements of Operations | https://www.sec.gov/Archives/edgar/data/1561550/000156155022000009/ddog-20211231.htm | Retrieved 2026-07-28. Normalized from source units to $/share.</text>
  </threadedComment>
  <threadedComment ref="C19" dT="2026-07-28T17:48:11.38" personId="{B2798916-B261-40FB-A48A-CAF30B913DA7}" id="{C8D2F664-D019-A993-15C8-FE2AF4605C33}">
    <text>SRC-002 | Datadog Form 10-K | FY2020 | Consolidated Statements of Operations | https://www.sec.gov/Archives/edgar/data/1561550/000156155023000006/ddog-20221231.htm | Retrieved 2026-07-28. Normalized from source units to $/share.</text>
  </threadedComment>
  <threadedComment ref="D19" dT="2026-07-28T17:48:11.38" personId="{B2798916-B261-40FB-A48A-CAF30B913DA7}" id="{F912024C-A141-7F55-C35D-C8911BDB86E4}">
    <text>SRC-002 | Datadog Form 10-K | FY2021 | Consolidated Statements of Operations | https://www.sec.gov/Archives/edgar/data/1561550/000156155023000006/ddog-20221231.htm | Retrieved 2026-07-28. Normalized from source units to $/share.</text>
  </threadedComment>
  <threadedComment ref="E19" dT="2026-07-28T17:48:11.38" personId="{B2798916-B261-40FB-A48A-CAF30B913DA7}" id="{E6B6D725-1885-4D49-3A3B-6ED3B913DB2E}">
    <text>SRC-002 | Datadog Form 10-K | FY2022 | Consolidated Statements of Operations | https://www.sec.gov/Archives/edgar/data/1561550/000156155023000006/ddog-20221231.htm | Retrieved 2026-07-28. Normalized from source units to $/share.</text>
  </threadedComment>
  <threadedComment ref="F19" dT="2026-07-28T17:48:11.38" personId="{B2798916-B261-40FB-A48A-CAF30B913DA7}" id="{4787D460-FFA5-64A0-DD9D-B01D729AEFF2}">
    <text>SRC-003 | Datadog Form 10-K | FY2023 | Consolidated Statements of Operations | https://www.sec.gov/Archives/edgar/data/1561550/000162828026008819/ddog-20251231.htm | Retrieved 2026-07-28. Normalized from source units to $/share.</text>
  </threadedComment>
  <threadedComment ref="G19" dT="2026-07-28T17:48:11.38" personId="{B2798916-B261-40FB-A48A-CAF30B913DA7}" id="{4D846BF5-85E9-B73C-CB61-3129D804B816}">
    <text>SRC-003 | Datadog Form 10-K | FY2024 | Consolidated Statements of Operations | https://www.sec.gov/Archives/edgar/data/1561550/000162828026008819/ddog-20251231.htm | Retrieved 2026-07-28. Normalized from source units to $/share.</text>
  </threadedComment>
  <threadedComment ref="H19" dT="2026-07-28T17:48:11.38" personId="{B2798916-B261-40FB-A48A-CAF30B913DA7}" id="{31CE0A06-6B3B-0F98-52FA-482F35777267}">
    <text>SRC-003 | Datadog Form 10-K | FY2025 | Consolidated Statements of Operations | https://www.sec.gov/Archives/edgar/data/1561550/000162828026008819/ddog-20251231.htm | Retrieved 2026-07-28. Normalized from source units to $/share.</text>
  </threadedComment>
  <threadedComment ref="B20" dT="2026-07-28T17:48:11.38" personId="{B2798916-B261-40FB-A48A-CAF30B913DA7}" id="{F7CF22C3-D399-2877-C970-8DC1EC5C5A1D}">
    <text>SRC-001 | Datadog Form 10-K | FY2019 | Consolidated Statements of Operations | https://www.sec.gov/Archives/edgar/data/1561550/000156155022000009/ddog-20211231.htm | Retrieved 2026-07-28. Normalized from source units to $/share.</text>
  </threadedComment>
  <threadedComment ref="C20" dT="2026-07-28T17:48:11.38" personId="{B2798916-B261-40FB-A48A-CAF30B913DA7}" id="{6D1F8D2A-25D3-60C6-0968-DBD40D85C442}">
    <text>SRC-002 | Datadog Form 10-K | FY2020 | Consolidated Statements of Operations | https://www.sec.gov/Archives/edgar/data/1561550/000156155023000006/ddog-20221231.htm | Retrieved 2026-07-28. Normalized from source units to $/share.</text>
  </threadedComment>
  <threadedComment ref="D20" dT="2026-07-28T17:48:11.38" personId="{B2798916-B261-40FB-A48A-CAF30B913DA7}" id="{BFD62EC9-E3BE-1E23-99DA-CF1E2A6227C4}">
    <text>SRC-002 | Datadog Form 10-K | FY2021 | Consolidated Statements of Operations | https://www.sec.gov/Archives/edgar/data/1561550/000156155023000006/ddog-20221231.htm | Retrieved 2026-07-28. Normalized from source units to $/share.</text>
  </threadedComment>
  <threadedComment ref="E20" dT="2026-07-28T17:48:11.38" personId="{B2798916-B261-40FB-A48A-CAF30B913DA7}" id="{B8CD815E-CCCC-0CAA-5A12-C8F0D4B08091}">
    <text>SRC-002 | Datadog Form 10-K | FY2022 | Consolidated Statements of Operations | https://www.sec.gov/Archives/edgar/data/1561550/000156155023000006/ddog-20221231.htm | Retrieved 2026-07-28. Normalized from source units to $/share.</text>
  </threadedComment>
  <threadedComment ref="F20" dT="2026-07-28T17:48:11.38" personId="{B2798916-B261-40FB-A48A-CAF30B913DA7}" id="{8583757B-00B3-D975-5460-95DDC59F1E2C}">
    <text>SRC-003 | Datadog Form 10-K | FY2023 | Consolidated Statements of Operations | https://www.sec.gov/Archives/edgar/data/1561550/000162828026008819/ddog-20251231.htm | Retrieved 2026-07-28. Normalized from source units to $/share.</text>
  </threadedComment>
  <threadedComment ref="G20" dT="2026-07-28T17:48:11.38" personId="{B2798916-B261-40FB-A48A-CAF30B913DA7}" id="{5779DE49-433E-C383-428B-BDEB305228B8}">
    <text>SRC-003 | Datadog Form 10-K | FY2024 | Consolidated Statements of Operations | https://www.sec.gov/Archives/edgar/data/1561550/000162828026008819/ddog-20251231.htm | Retrieved 2026-07-28. Normalized from source units to $/share.</text>
  </threadedComment>
  <threadedComment ref="H20" dT="2026-07-28T17:48:11.38" personId="{B2798916-B261-40FB-A48A-CAF30B913DA7}" id="{07FC1282-EF92-C59D-81D9-ED4A5DCF5284}">
    <text>SRC-003 | Datadog Form 10-K | FY2025 | Consolidated Statements of Operations | https://www.sec.gov/Archives/edgar/data/1561550/000162828026008819/ddog-20251231.htm | Retrieved 2026-07-28. Normalized from source units to $/share.</text>
  </threadedComment>
  <threadedComment ref="B21" dT="2026-07-28T17:48:11.38" personId="{B2798916-B261-40FB-A48A-CAF30B913DA7}" id="{9F0AA122-5B71-737A-9133-30C2FDDC5415}">
    <text>SRC-001 | Datadog Form 10-K | FY2019 | Consolidated Statements of Operations | https://www.sec.gov/Archives/edgar/data/1561550/000156155022000009/ddog-20211231.htm | Retrieved 2026-07-28. Normalized from source units to mm shares.</text>
  </threadedComment>
  <threadedComment ref="C21" dT="2026-07-28T17:48:11.38" personId="{B2798916-B261-40FB-A48A-CAF30B913DA7}" id="{8445F90E-4D66-5478-B7DB-76026778FF17}">
    <text>SRC-002 | Datadog Form 10-K | FY2020 | Consolidated Statements of Operations | https://www.sec.gov/Archives/edgar/data/1561550/000156155023000006/ddog-20221231.htm | Retrieved 2026-07-28. Normalized from source units to mm shares.</text>
  </threadedComment>
  <threadedComment ref="D21" dT="2026-07-28T17:48:11.38" personId="{B2798916-B261-40FB-A48A-CAF30B913DA7}" id="{470D8E45-48F8-D29E-591C-FA97B2FC2426}">
    <text>SRC-002 | Datadog Form 10-K | FY2021 | Consolidated Statements of Operations | https://www.sec.gov/Archives/edgar/data/1561550/000156155023000006/ddog-20221231.htm | Retrieved 2026-07-28. Normalized from source units to mm shares.</text>
  </threadedComment>
  <threadedComment ref="E21" dT="2026-07-28T17:48:11.38" personId="{B2798916-B261-40FB-A48A-CAF30B913DA7}" id="{D605A300-7C9B-04D0-3F49-456C8717CFDF}">
    <text>SRC-002 | Datadog Form 10-K | FY2022 | Consolidated Statements of Operations | https://www.sec.gov/Archives/edgar/data/1561550/000156155023000006/ddog-20221231.htm | Retrieved 2026-07-28. Normalized from source units to mm shares.</text>
  </threadedComment>
  <threadedComment ref="F21" dT="2026-07-28T17:48:11.38" personId="{B2798916-B261-40FB-A48A-CAF30B913DA7}" id="{B9D493C0-E71C-575E-153A-089B42A2E17D}">
    <text>SRC-003 | Datadog Form 10-K | FY2023 | Consolidated Statements of Operations | https://www.sec.gov/Archives/edgar/data/1561550/000162828026008819/ddog-20251231.htm | Retrieved 2026-07-28. Normalized from source units to mm shares.</text>
  </threadedComment>
  <threadedComment ref="G21" dT="2026-07-28T17:48:11.38" personId="{B2798916-B261-40FB-A48A-CAF30B913DA7}" id="{8CE5CF5B-8C19-BBBC-B673-9E7F44771F7D}">
    <text>SRC-003 | Datadog Form 10-K | FY2024 | Consolidated Statements of Operations | https://www.sec.gov/Archives/edgar/data/1561550/000162828026008819/ddog-20251231.htm | Retrieved 2026-07-28. Normalized from source units to mm shares.</text>
  </threadedComment>
  <threadedComment ref="H21" dT="2026-07-28T17:48:11.38" personId="{B2798916-B261-40FB-A48A-CAF30B913DA7}" id="{7FF2439D-FC36-22A5-275B-2A6DB2E4EB95}">
    <text>SRC-003 | Datadog Form 10-K | FY2025 | Consolidated Statements of Operations | https://www.sec.gov/Archives/edgar/data/1561550/000162828026008819/ddog-20251231.htm | Retrieved 2026-07-28. Normalized from source units to mm shares.</text>
  </threadedComment>
  <threadedComment ref="B22" dT="2026-07-28T17:48:11.38" personId="{B2798916-B261-40FB-A48A-CAF30B913DA7}" id="{A79A65FF-53BF-A7C6-A740-DFAD82550C0F}">
    <text>SRC-001 | Datadog Form 10-K | FY2019 | Consolidated Statements of Operations | https://www.sec.gov/Archives/edgar/data/1561550/000156155022000009/ddog-20211231.htm | Retrieved 2026-07-28. Normalized from source units to mm shares.</text>
  </threadedComment>
  <threadedComment ref="C22" dT="2026-07-28T17:48:11.38" personId="{B2798916-B261-40FB-A48A-CAF30B913DA7}" id="{0E5F43CC-D1B1-9DCC-1E75-A7A1073A9052}">
    <text>SRC-002 | Datadog Form 10-K | FY2020 | Consolidated Statements of Operations | https://www.sec.gov/Archives/edgar/data/1561550/000156155023000006/ddog-20221231.htm | Retrieved 2026-07-28. Normalized from source units to mm shares.</text>
  </threadedComment>
  <threadedComment ref="D22" dT="2026-07-28T17:48:11.38" personId="{B2798916-B261-40FB-A48A-CAF30B913DA7}" id="{3AC97FF0-E39E-040C-8DFC-5B94620D9308}">
    <text>SRC-002 | Datadog Form 10-K | FY2021 | Consolidated Statements of Operations | https://www.sec.gov/Archives/edgar/data/1561550/000156155023000006/ddog-20221231.htm | Retrieved 2026-07-28. Normalized from source units to mm shares.</text>
  </threadedComment>
  <threadedComment ref="E22" dT="2026-07-28T17:48:11.38" personId="{B2798916-B261-40FB-A48A-CAF30B913DA7}" id="{A5FD1994-76E3-D205-3707-4105C0B4DA26}">
    <text>SRC-002 | Datadog Form 10-K | FY2022 | Consolidated Statements of Operations | https://www.sec.gov/Archives/edgar/data/1561550/000156155023000006/ddog-20221231.htm | Retrieved 2026-07-28. Normalized from source units to mm shares.</text>
  </threadedComment>
  <threadedComment ref="F22" dT="2026-07-28T17:48:11.38" personId="{B2798916-B261-40FB-A48A-CAF30B913DA7}" id="{F7ACAE52-17A1-6B7A-B488-66A07BA947C7}">
    <text>SRC-003 | Datadog Form 10-K | FY2023 | Consolidated Statements of Operations | https://www.sec.gov/Archives/edgar/data/1561550/000162828026008819/ddog-20251231.htm | Retrieved 2026-07-28. Normalized from source units to mm shares.</text>
  </threadedComment>
  <threadedComment ref="G22" dT="2026-07-28T17:48:11.38" personId="{B2798916-B261-40FB-A48A-CAF30B913DA7}" id="{88BAB36D-F6E4-C4D4-DD63-33DF63F74DDF}">
    <text>SRC-003 | Datadog Form 10-K | FY2024 | Consolidated Statements of Operations | https://www.sec.gov/Archives/edgar/data/1561550/000162828026008819/ddog-20251231.htm | Retrieved 2026-07-28. Normalized from source units to mm shares.</text>
  </threadedComment>
  <threadedComment ref="H22" dT="2026-07-28T17:48:11.38" personId="{B2798916-B261-40FB-A48A-CAF30B913DA7}" id="{D2FEE64D-B898-FCAF-51C1-B9A7D9EEDD0D}">
    <text>SRC-003 | Datadog Form 10-K | FY2025 | Consolidated Statements of Operations | https://www.sec.gov/Archives/edgar/data/1561550/000162828026008819/ddog-20251231.htm | Retrieved 2026-07-28. Normalized from source units to mm shares.</text>
  </threadedComment>
  <threadedComment ref="B23" dT="2026-07-28T17:48:11.38" personId="{B2798916-B261-40FB-A48A-CAF30B913DA7}" id="{DD7AF54B-D9AC-C725-C7A8-93F38C2B73F2}">
    <text>SRC-001 | Datadog Form 10-K | FY2019 | Balance sheet / statement of stockholders’ equity | https://www.sec.gov/Archives/edgar/data/1561550/000156155022000009/ddog-20211231.htm | Retrieved 2026-07-28. Normalized from source units to mm shares.</text>
  </threadedComment>
  <threadedComment ref="C23" dT="2026-07-28T17:48:11.38" personId="{B2798916-B261-40FB-A48A-CAF30B913DA7}" id="{EB5589E0-8FCA-DA81-A30B-9915DCF08829}">
    <text>SRC-002 | Datadog Form 10-K | FY2020 | Balance sheet / statement of stockholders’ equity | https://www.sec.gov/Archives/edgar/data/1561550/000156155023000006/ddog-20221231.htm | Retrieved 2026-07-28. Normalized from source units to mm shares.</text>
  </threadedComment>
  <threadedComment ref="D23" dT="2026-07-28T17:48:11.38" personId="{B2798916-B261-40FB-A48A-CAF30B913DA7}" id="{2F270B5A-7532-844E-0A3F-3872BC9127B2}">
    <text>SRC-002 | Datadog Form 10-K | FY2021 | Balance sheet / statement of stockholders’ equity | https://www.sec.gov/Archives/edgar/data/1561550/000156155023000006/ddog-20221231.htm | Retrieved 2026-07-28. Normalized from source units to mm shares.</text>
  </threadedComment>
  <threadedComment ref="E23" dT="2026-07-28T17:48:11.38" personId="{B2798916-B261-40FB-A48A-CAF30B913DA7}" id="{98A4689D-885D-7505-4C76-65B9B6D372D7}">
    <text>SRC-002 | Datadog Form 10-K | FY2022 | Balance sheet / statement of stockholders’ equity | https://www.sec.gov/Archives/edgar/data/1561550/000156155023000006/ddog-20221231.htm | Retrieved 2026-07-28. Normalized from source units to mm shares.</text>
  </threadedComment>
  <threadedComment ref="F23" dT="2026-07-28T17:48:11.38" personId="{B2798916-B261-40FB-A48A-CAF30B913DA7}" id="{5A48623C-0F50-DCE5-47C7-A2804DEDF47B}">
    <text>SRC-003 | Datadog Form 10-K | FY2023 | Balance sheet / statement of stockholders’ equity | https://www.sec.gov/Archives/edgar/data/1561550/000162828026008819/ddog-20251231.htm | Retrieved 2026-07-28. Normalized from source units to mm shares.</text>
  </threadedComment>
  <threadedComment ref="G23" dT="2026-07-28T17:48:11.38" personId="{B2798916-B261-40FB-A48A-CAF30B913DA7}" id="{4CE9CF6C-7F4C-D914-0611-DA0896C906DD}">
    <text>SRC-003 | Datadog Form 10-K | FY2024 | Balance sheet / statement of stockholders’ equity | https://www.sec.gov/Archives/edgar/data/1561550/000162828026008819/ddog-20251231.htm | Retrieved 2026-07-28. Normalized from source units to mm shares.</text>
  </threadedComment>
  <threadedComment ref="H23" dT="2026-07-28T17:48:11.38" personId="{B2798916-B261-40FB-A48A-CAF30B913DA7}" id="{EAB16FDD-0CBC-1239-7770-55A94B64FDAC}">
    <text>SRC-003 | Datadog Form 10-K | FY2025 | Balance sheet / statement of stockholders’ equity | https://www.sec.gov/Archives/edgar/data/1561550/000162828026008819/ddog-20251231.htm | Retrieved 2026-07-28. Normalized from source units to mm shares.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showGridLines="0" topLeftCell="A5" workbookViewId="0">
      <selection activeCell="T19" sqref="T19"/>
    </sheetView>
  </sheetViews>
  <sheetFormatPr baseColWidth="10" defaultColWidth="8.83203125" defaultRowHeight="15"/>
  <cols>
    <col min="1" max="1" width="13" customWidth="1"/>
    <col min="2" max="16" width="11" customWidth="1"/>
    <col min="17" max="17" width="13" customWidth="1"/>
  </cols>
  <sheetData>
    <row r="1" spans="1:17" ht="32" customHeight="1">
      <c r="A1" s="54" t="s">
        <v>0</v>
      </c>
      <c r="B1" s="54" t="s">
        <v>0</v>
      </c>
      <c r="C1" s="54" t="s">
        <v>0</v>
      </c>
      <c r="D1" s="54" t="s">
        <v>0</v>
      </c>
      <c r="E1" s="54" t="s">
        <v>0</v>
      </c>
      <c r="F1" s="54" t="s">
        <v>0</v>
      </c>
      <c r="G1" s="54" t="s">
        <v>0</v>
      </c>
      <c r="H1" s="54" t="s">
        <v>0</v>
      </c>
      <c r="I1" s="54" t="s">
        <v>0</v>
      </c>
      <c r="J1" s="54" t="s">
        <v>0</v>
      </c>
      <c r="K1" s="54" t="s">
        <v>0</v>
      </c>
      <c r="L1" s="54" t="s">
        <v>0</v>
      </c>
      <c r="M1" s="54" t="s">
        <v>0</v>
      </c>
      <c r="N1" s="54" t="s">
        <v>0</v>
      </c>
      <c r="O1" s="54" t="s">
        <v>0</v>
      </c>
      <c r="P1" s="54" t="s">
        <v>0</v>
      </c>
      <c r="Q1" s="54" t="s">
        <v>0</v>
      </c>
    </row>
    <row r="2" spans="1:17">
      <c r="A2" s="55" t="s">
        <v>1</v>
      </c>
      <c r="B2" s="55" t="s">
        <v>1</v>
      </c>
      <c r="C2" s="55" t="s">
        <v>1</v>
      </c>
      <c r="D2" s="55" t="s">
        <v>1</v>
      </c>
      <c r="E2" s="55" t="s">
        <v>1</v>
      </c>
      <c r="F2" s="55" t="s">
        <v>1</v>
      </c>
      <c r="G2" s="55" t="s">
        <v>1</v>
      </c>
      <c r="H2" s="55" t="s">
        <v>1</v>
      </c>
      <c r="I2" s="55" t="s">
        <v>1</v>
      </c>
      <c r="J2" s="55" t="s">
        <v>1</v>
      </c>
      <c r="K2" s="55" t="s">
        <v>1</v>
      </c>
      <c r="L2" s="55" t="s">
        <v>1</v>
      </c>
      <c r="M2" s="55" t="s">
        <v>1</v>
      </c>
      <c r="N2" s="55" t="s">
        <v>1</v>
      </c>
      <c r="O2" s="55" t="s">
        <v>1</v>
      </c>
      <c r="P2" s="55" t="s">
        <v>1</v>
      </c>
      <c r="Q2" s="55" t="s">
        <v>1</v>
      </c>
    </row>
    <row r="4" spans="1:17">
      <c r="A4" s="56" t="s">
        <v>2</v>
      </c>
      <c r="B4" s="57" t="s">
        <v>2</v>
      </c>
      <c r="D4" s="56" t="s">
        <v>3</v>
      </c>
      <c r="E4" s="57" t="s">
        <v>3</v>
      </c>
      <c r="G4" s="56" t="s">
        <v>4</v>
      </c>
      <c r="H4" s="57" t="s">
        <v>4</v>
      </c>
      <c r="J4" s="56" t="s">
        <v>5</v>
      </c>
      <c r="K4" s="57" t="s">
        <v>5</v>
      </c>
      <c r="M4" s="56" t="s">
        <v>6</v>
      </c>
      <c r="N4" s="57" t="s">
        <v>6</v>
      </c>
      <c r="P4" s="56" t="s">
        <v>7</v>
      </c>
      <c r="Q4" s="57" t="s">
        <v>7</v>
      </c>
    </row>
    <row r="5" spans="1:17">
      <c r="A5" s="58">
        <f>('Income Statement'!H8/'Income Statement'!B8)^(1/6)-1</f>
        <v>0.45394662965063781</v>
      </c>
      <c r="B5" s="59"/>
      <c r="D5" s="58">
        <f>'Income Statement'!H13</f>
        <v>0.79955490817756292</v>
      </c>
      <c r="E5" s="59"/>
      <c r="G5" s="58">
        <f>'Income Statement'!H25</f>
        <v>-1.2947462591453207E-2</v>
      </c>
      <c r="H5" s="59"/>
      <c r="J5" s="58">
        <f>'Income Statement'!H36</f>
        <v>3.1437418409072597E-2</v>
      </c>
      <c r="K5" s="59"/>
      <c r="M5" s="62">
        <f>'Income Statement'!H39</f>
        <v>0.31</v>
      </c>
      <c r="N5" s="59"/>
      <c r="P5" s="58">
        <f>('Income Statement'!H44/'Income Statement'!B44)^(1/6)-1</f>
        <v>2.9331681435647461E-2</v>
      </c>
      <c r="Q5" s="59"/>
    </row>
    <row r="6" spans="1:17">
      <c r="A6" s="60"/>
      <c r="B6" s="61"/>
      <c r="D6" s="60"/>
      <c r="E6" s="61"/>
      <c r="G6" s="60"/>
      <c r="H6" s="61"/>
      <c r="J6" s="60"/>
      <c r="K6" s="61"/>
      <c r="M6" s="60"/>
      <c r="N6" s="61"/>
      <c r="P6" s="60"/>
      <c r="Q6" s="61"/>
    </row>
    <row r="45" spans="1:17">
      <c r="A45" s="63" t="s">
        <v>8</v>
      </c>
      <c r="B45" s="63" t="s">
        <v>8</v>
      </c>
      <c r="C45" s="63" t="s">
        <v>8</v>
      </c>
      <c r="D45" s="63" t="s">
        <v>8</v>
      </c>
      <c r="E45" s="63" t="s">
        <v>8</v>
      </c>
      <c r="F45" s="63" t="s">
        <v>8</v>
      </c>
      <c r="G45" s="63" t="s">
        <v>8</v>
      </c>
      <c r="H45" s="63" t="s">
        <v>8</v>
      </c>
      <c r="I45" s="63" t="s">
        <v>8</v>
      </c>
      <c r="J45" s="63" t="s">
        <v>8</v>
      </c>
      <c r="K45" s="63" t="s">
        <v>8</v>
      </c>
      <c r="L45" s="63" t="s">
        <v>8</v>
      </c>
      <c r="M45" s="63" t="s">
        <v>8</v>
      </c>
      <c r="N45" s="63" t="s">
        <v>8</v>
      </c>
      <c r="O45" s="63" t="s">
        <v>8</v>
      </c>
      <c r="P45" s="63" t="s">
        <v>8</v>
      </c>
      <c r="Q45" s="63" t="s">
        <v>8</v>
      </c>
    </row>
  </sheetData>
  <mergeCells count="15">
    <mergeCell ref="A45:Q45"/>
    <mergeCell ref="A1:Q1"/>
    <mergeCell ref="A2:Q2"/>
    <mergeCell ref="A4:B4"/>
    <mergeCell ref="A5:B6"/>
    <mergeCell ref="D4:E4"/>
    <mergeCell ref="D5:E6"/>
    <mergeCell ref="G4:H4"/>
    <mergeCell ref="G5:H6"/>
    <mergeCell ref="J4:K4"/>
    <mergeCell ref="J5:K6"/>
    <mergeCell ref="M4:N4"/>
    <mergeCell ref="M5:N6"/>
    <mergeCell ref="P4:Q4"/>
    <mergeCell ref="P5:Q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topLeftCell="A19" workbookViewId="0">
      <selection activeCell="N25" sqref="N25"/>
    </sheetView>
  </sheetViews>
  <sheetFormatPr baseColWidth="10" defaultColWidth="8.83203125" defaultRowHeight="15"/>
  <cols>
    <col min="1" max="1" width="47" customWidth="1"/>
    <col min="2" max="8" width="14" customWidth="1"/>
  </cols>
  <sheetData>
    <row r="1" spans="1:8" ht="30" customHeight="1">
      <c r="A1" s="64" t="s">
        <v>9</v>
      </c>
      <c r="B1" s="64" t="s">
        <v>9</v>
      </c>
      <c r="C1" s="64" t="s">
        <v>9</v>
      </c>
      <c r="D1" s="64" t="s">
        <v>9</v>
      </c>
      <c r="E1" s="64" t="s">
        <v>9</v>
      </c>
      <c r="F1" s="64" t="s">
        <v>9</v>
      </c>
      <c r="G1" s="64" t="s">
        <v>9</v>
      </c>
      <c r="H1" s="64" t="s">
        <v>9</v>
      </c>
    </row>
    <row r="2" spans="1:8">
      <c r="A2" s="65" t="s">
        <v>10</v>
      </c>
      <c r="B2" s="65" t="s">
        <v>10</v>
      </c>
      <c r="C2" s="65" t="s">
        <v>10</v>
      </c>
      <c r="D2" s="65" t="s">
        <v>10</v>
      </c>
      <c r="E2" s="65" t="s">
        <v>10</v>
      </c>
      <c r="F2" s="65" t="s">
        <v>10</v>
      </c>
      <c r="G2" s="65" t="s">
        <v>10</v>
      </c>
      <c r="H2" s="65" t="s">
        <v>10</v>
      </c>
    </row>
    <row r="3" spans="1:8">
      <c r="A3" s="66" t="s">
        <v>11</v>
      </c>
      <c r="B3" s="66" t="s">
        <v>11</v>
      </c>
      <c r="C3" s="66" t="s">
        <v>11</v>
      </c>
      <c r="D3" s="66" t="s">
        <v>11</v>
      </c>
      <c r="E3" s="66" t="s">
        <v>11</v>
      </c>
      <c r="F3" s="66" t="s">
        <v>11</v>
      </c>
      <c r="G3" s="66" t="s">
        <v>11</v>
      </c>
      <c r="H3" s="66" t="s">
        <v>11</v>
      </c>
    </row>
    <row r="5" spans="1:8">
      <c r="A5" s="18" t="s">
        <v>12</v>
      </c>
      <c r="B5" s="16">
        <v>2019</v>
      </c>
      <c r="C5" s="16">
        <v>2020</v>
      </c>
      <c r="D5" s="16">
        <v>2021</v>
      </c>
      <c r="E5" s="16">
        <v>2022</v>
      </c>
      <c r="F5" s="16">
        <v>2023</v>
      </c>
      <c r="G5" s="16">
        <v>2024</v>
      </c>
      <c r="H5" s="17">
        <v>2025</v>
      </c>
    </row>
    <row r="7" spans="1:8">
      <c r="A7" s="67" t="s">
        <v>13</v>
      </c>
      <c r="B7" s="67" t="s">
        <v>13</v>
      </c>
      <c r="C7" s="67" t="s">
        <v>13</v>
      </c>
      <c r="D7" s="67" t="s">
        <v>13</v>
      </c>
      <c r="E7" s="67" t="s">
        <v>13</v>
      </c>
      <c r="F7" s="67" t="s">
        <v>13</v>
      </c>
      <c r="G7" s="67" t="s">
        <v>13</v>
      </c>
      <c r="H7" s="67" t="s">
        <v>13</v>
      </c>
    </row>
    <row r="8" spans="1:8">
      <c r="A8" s="19" t="s">
        <v>14</v>
      </c>
      <c r="B8" s="25">
        <f>'Source Data'!B5</f>
        <v>362.78</v>
      </c>
      <c r="C8" s="25">
        <f>'Source Data'!C5</f>
        <v>603.46600000000001</v>
      </c>
      <c r="D8" s="25">
        <f>'Source Data'!D5</f>
        <v>1028.7840000000001</v>
      </c>
      <c r="E8" s="25">
        <f>'Source Data'!E5</f>
        <v>1675.1</v>
      </c>
      <c r="F8" s="25">
        <f>'Source Data'!F5</f>
        <v>2128.3589999999999</v>
      </c>
      <c r="G8" s="25">
        <f>'Source Data'!G5</f>
        <v>2684.2750000000001</v>
      </c>
      <c r="H8" s="25">
        <f>'Source Data'!H5</f>
        <v>3427.1579999999999</v>
      </c>
    </row>
    <row r="9" spans="1:8">
      <c r="A9" s="20" t="s">
        <v>15</v>
      </c>
      <c r="B9" s="26" t="str">
        <f>""</f>
        <v/>
      </c>
      <c r="C9" s="26">
        <f t="shared" ref="C9:H9" si="0">IF(B8=0,"",C8/B8-1)</f>
        <v>0.66344892221180896</v>
      </c>
      <c r="D9" s="26">
        <f t="shared" si="0"/>
        <v>0.70479198496684159</v>
      </c>
      <c r="E9" s="26">
        <f t="shared" si="0"/>
        <v>0.62823294296956389</v>
      </c>
      <c r="F9" s="26">
        <f t="shared" si="0"/>
        <v>0.27058623365769208</v>
      </c>
      <c r="G9" s="26">
        <f t="shared" si="0"/>
        <v>0.26119465748024662</v>
      </c>
      <c r="H9" s="26">
        <f t="shared" si="0"/>
        <v>0.27675368581833082</v>
      </c>
    </row>
    <row r="10" spans="1:8">
      <c r="A10" s="21" t="s">
        <v>16</v>
      </c>
      <c r="B10" s="27">
        <f>'Source Data'!B6</f>
        <v>88.948999999999998</v>
      </c>
      <c r="C10" s="27">
        <f>'Source Data'!C6</f>
        <v>130.197</v>
      </c>
      <c r="D10" s="27">
        <f>'Source Data'!D6</f>
        <v>234.245</v>
      </c>
      <c r="E10" s="27">
        <f>'Source Data'!E6</f>
        <v>346.74299999999999</v>
      </c>
      <c r="F10" s="27">
        <f>'Source Data'!F6</f>
        <v>409.90800000000002</v>
      </c>
      <c r="G10" s="27">
        <f>'Source Data'!G6</f>
        <v>515.53099999999995</v>
      </c>
      <c r="H10" s="27">
        <f>'Source Data'!H6</f>
        <v>686.95699999999999</v>
      </c>
    </row>
    <row r="11" spans="1:8">
      <c r="A11" s="20" t="s">
        <v>17</v>
      </c>
      <c r="B11" s="26">
        <f t="shared" ref="B11:H11" si="1">B10/B8</f>
        <v>0.24518716577540109</v>
      </c>
      <c r="C11" s="26">
        <f t="shared" si="1"/>
        <v>0.21574869172414021</v>
      </c>
      <c r="D11" s="26">
        <f t="shared" si="1"/>
        <v>0.2276911382758674</v>
      </c>
      <c r="E11" s="26">
        <f t="shared" si="1"/>
        <v>0.206998388155931</v>
      </c>
      <c r="F11" s="26">
        <f t="shared" si="1"/>
        <v>0.19259344875559059</v>
      </c>
      <c r="G11" s="26">
        <f t="shared" si="1"/>
        <v>0.19205595551871546</v>
      </c>
      <c r="H11" s="26">
        <f>H10/H8</f>
        <v>0.20044509182243714</v>
      </c>
    </row>
    <row r="12" spans="1:8">
      <c r="A12" s="22" t="s">
        <v>18</v>
      </c>
      <c r="B12" s="28">
        <f t="shared" ref="B12:H12" si="2">B8-B10</f>
        <v>273.83099999999996</v>
      </c>
      <c r="C12" s="28">
        <f t="shared" si="2"/>
        <v>473.26900000000001</v>
      </c>
      <c r="D12" s="28">
        <f t="shared" si="2"/>
        <v>794.5390000000001</v>
      </c>
      <c r="E12" s="28">
        <f t="shared" si="2"/>
        <v>1328.357</v>
      </c>
      <c r="F12" s="28">
        <f t="shared" si="2"/>
        <v>1718.451</v>
      </c>
      <c r="G12" s="28">
        <f t="shared" si="2"/>
        <v>2168.7440000000001</v>
      </c>
      <c r="H12" s="28">
        <f t="shared" si="2"/>
        <v>2740.201</v>
      </c>
    </row>
    <row r="13" spans="1:8">
      <c r="A13" s="20" t="s">
        <v>19</v>
      </c>
      <c r="B13" s="26">
        <f t="shared" ref="B13:H13" si="3">B12/B8</f>
        <v>0.75481283422459888</v>
      </c>
      <c r="C13" s="26">
        <f t="shared" si="3"/>
        <v>0.78425130827585976</v>
      </c>
      <c r="D13" s="26">
        <f t="shared" si="3"/>
        <v>0.7723088617241326</v>
      </c>
      <c r="E13" s="26">
        <f t="shared" si="3"/>
        <v>0.79300161184406903</v>
      </c>
      <c r="F13" s="26">
        <f t="shared" si="3"/>
        <v>0.80740655124440941</v>
      </c>
      <c r="G13" s="26">
        <f t="shared" si="3"/>
        <v>0.80794404448128454</v>
      </c>
      <c r="H13" s="26">
        <f t="shared" si="3"/>
        <v>0.79955490817756292</v>
      </c>
    </row>
    <row r="14" spans="1:8">
      <c r="A14" s="21"/>
      <c r="B14" s="29"/>
      <c r="C14" s="29"/>
      <c r="D14" s="29"/>
      <c r="E14" s="29"/>
      <c r="F14" s="29"/>
      <c r="G14" s="29"/>
      <c r="H14" s="29"/>
    </row>
    <row r="15" spans="1:8">
      <c r="A15" s="68" t="s">
        <v>20</v>
      </c>
      <c r="B15" s="69" t="s">
        <v>20</v>
      </c>
      <c r="C15" s="69" t="s">
        <v>20</v>
      </c>
      <c r="D15" s="69" t="s">
        <v>20</v>
      </c>
      <c r="E15" s="69" t="s">
        <v>20</v>
      </c>
      <c r="F15" s="69" t="s">
        <v>20</v>
      </c>
      <c r="G15" s="69" t="s">
        <v>20</v>
      </c>
      <c r="H15" s="69" t="s">
        <v>20</v>
      </c>
    </row>
    <row r="16" spans="1:8">
      <c r="A16" s="21" t="s">
        <v>21</v>
      </c>
      <c r="B16" s="27">
        <f>'Source Data'!B8</f>
        <v>111.425</v>
      </c>
      <c r="C16" s="27">
        <f>'Source Data'!C8</f>
        <v>210.626</v>
      </c>
      <c r="D16" s="27">
        <f>'Source Data'!D8</f>
        <v>419.76900000000001</v>
      </c>
      <c r="E16" s="27">
        <f>'Source Data'!E8</f>
        <v>752.351</v>
      </c>
      <c r="F16" s="27">
        <f>'Source Data'!F8</f>
        <v>962.447</v>
      </c>
      <c r="G16" s="27">
        <f>'Source Data'!G8</f>
        <v>1152.703</v>
      </c>
      <c r="H16" s="27">
        <f>'Source Data'!H8</f>
        <v>1548.451</v>
      </c>
    </row>
    <row r="17" spans="1:8">
      <c r="A17" s="21" t="s">
        <v>22</v>
      </c>
      <c r="B17" s="27">
        <f>'Source Data'!B9</f>
        <v>146.65700000000001</v>
      </c>
      <c r="C17" s="27">
        <f>'Source Data'!C9</f>
        <v>213.66</v>
      </c>
      <c r="D17" s="27">
        <f>'Source Data'!D9</f>
        <v>299.49700000000001</v>
      </c>
      <c r="E17" s="27">
        <f>'Source Data'!E9</f>
        <v>495.28800000000001</v>
      </c>
      <c r="F17" s="27">
        <f>'Source Data'!F9</f>
        <v>609.27599999999995</v>
      </c>
      <c r="G17" s="27">
        <f>'Source Data'!G9</f>
        <v>756.60500000000002</v>
      </c>
      <c r="H17" s="27">
        <f>'Source Data'!H9</f>
        <v>956.423</v>
      </c>
    </row>
    <row r="18" spans="1:8">
      <c r="A18" s="21" t="s">
        <v>23</v>
      </c>
      <c r="B18" s="27">
        <f>'Source Data'!B10</f>
        <v>35.889000000000003</v>
      </c>
      <c r="C18" s="27">
        <f>'Source Data'!C10</f>
        <v>62.756</v>
      </c>
      <c r="D18" s="27">
        <f>'Source Data'!D10</f>
        <v>94.429000000000002</v>
      </c>
      <c r="E18" s="27">
        <f>'Source Data'!E10</f>
        <v>139.41300000000001</v>
      </c>
      <c r="F18" s="27">
        <f>'Source Data'!F10</f>
        <v>180.19200000000001</v>
      </c>
      <c r="G18" s="27">
        <f>'Source Data'!G10</f>
        <v>205.15199999999999</v>
      </c>
      <c r="H18" s="27">
        <f>'Source Data'!H10</f>
        <v>279.7</v>
      </c>
    </row>
    <row r="19" spans="1:8">
      <c r="A19" s="22" t="s">
        <v>24</v>
      </c>
      <c r="B19" s="28">
        <f t="shared" ref="B19:H19" si="4">SUM(B16:B18)</f>
        <v>293.971</v>
      </c>
      <c r="C19" s="28">
        <f t="shared" si="4"/>
        <v>487.04200000000003</v>
      </c>
      <c r="D19" s="28">
        <f t="shared" si="4"/>
        <v>813.69500000000005</v>
      </c>
      <c r="E19" s="28">
        <f t="shared" si="4"/>
        <v>1387.0520000000001</v>
      </c>
      <c r="F19" s="28">
        <f t="shared" si="4"/>
        <v>1751.915</v>
      </c>
      <c r="G19" s="28">
        <f t="shared" si="4"/>
        <v>2114.46</v>
      </c>
      <c r="H19" s="28">
        <f t="shared" si="4"/>
        <v>2784.5739999999996</v>
      </c>
    </row>
    <row r="20" spans="1:8">
      <c r="A20" s="23" t="s">
        <v>25</v>
      </c>
      <c r="B20" s="30">
        <f t="shared" ref="B20:H20" si="5">B16/B8</f>
        <v>0.30714206957384643</v>
      </c>
      <c r="C20" s="30">
        <f t="shared" si="5"/>
        <v>0.34902712000344677</v>
      </c>
      <c r="D20" s="30">
        <f t="shared" si="5"/>
        <v>0.4080244249521765</v>
      </c>
      <c r="E20" s="30">
        <f t="shared" si="5"/>
        <v>0.44913796191272165</v>
      </c>
      <c r="F20" s="30">
        <f t="shared" si="5"/>
        <v>0.45220143782134503</v>
      </c>
      <c r="G20" s="30">
        <f t="shared" si="5"/>
        <v>0.42942805785547306</v>
      </c>
      <c r="H20" s="30">
        <f t="shared" si="5"/>
        <v>0.45181780355618273</v>
      </c>
    </row>
    <row r="21" spans="1:8">
      <c r="A21" s="20" t="s">
        <v>26</v>
      </c>
      <c r="B21" s="26">
        <f t="shared" ref="B21:H21" si="6">B17/B8</f>
        <v>0.40425877942554722</v>
      </c>
      <c r="C21" s="26">
        <f t="shared" si="6"/>
        <v>0.35405474376352603</v>
      </c>
      <c r="D21" s="26">
        <f t="shared" si="6"/>
        <v>0.29111747461080262</v>
      </c>
      <c r="E21" s="26">
        <f t="shared" si="6"/>
        <v>0.29567667601934217</v>
      </c>
      <c r="F21" s="26">
        <f t="shared" si="6"/>
        <v>0.28626561590408384</v>
      </c>
      <c r="G21" s="26">
        <f t="shared" si="6"/>
        <v>0.28186568067727785</v>
      </c>
      <c r="H21" s="26">
        <f t="shared" si="6"/>
        <v>0.27907175566460607</v>
      </c>
    </row>
    <row r="22" spans="1:8">
      <c r="A22" s="23" t="s">
        <v>27</v>
      </c>
      <c r="B22" s="30">
        <f t="shared" ref="B22:H22" si="7">B18/B8</f>
        <v>9.89277247918849E-2</v>
      </c>
      <c r="C22" s="30">
        <f t="shared" si="7"/>
        <v>0.10399260273155406</v>
      </c>
      <c r="D22" s="30">
        <f t="shared" si="7"/>
        <v>9.178700290828784E-2</v>
      </c>
      <c r="E22" s="30">
        <f t="shared" si="7"/>
        <v>8.3226673034445711E-2</v>
      </c>
      <c r="F22" s="30">
        <f t="shared" si="7"/>
        <v>8.4662408926313659E-2</v>
      </c>
      <c r="G22" s="30">
        <f t="shared" si="7"/>
        <v>7.6427340715835734E-2</v>
      </c>
      <c r="H22" s="30">
        <f t="shared" si="7"/>
        <v>8.1612811548227429E-2</v>
      </c>
    </row>
    <row r="23" spans="1:8">
      <c r="A23" s="20" t="s">
        <v>28</v>
      </c>
      <c r="B23" s="26">
        <f t="shared" ref="B23:H23" si="8">B19/B8</f>
        <v>0.81032857379127854</v>
      </c>
      <c r="C23" s="26">
        <f t="shared" si="8"/>
        <v>0.80707446649852688</v>
      </c>
      <c r="D23" s="26">
        <f t="shared" si="8"/>
        <v>0.79092890247126701</v>
      </c>
      <c r="E23" s="26">
        <f t="shared" si="8"/>
        <v>0.82804131096650957</v>
      </c>
      <c r="F23" s="26">
        <f t="shared" si="8"/>
        <v>0.82312946265174247</v>
      </c>
      <c r="G23" s="26">
        <f t="shared" si="8"/>
        <v>0.7877210792485867</v>
      </c>
      <c r="H23" s="26">
        <f t="shared" si="8"/>
        <v>0.8125023707690161</v>
      </c>
    </row>
    <row r="24" spans="1:8">
      <c r="A24" s="22" t="s">
        <v>29</v>
      </c>
      <c r="B24" s="28">
        <f t="shared" ref="B24:H24" si="9">B12-B19</f>
        <v>-20.140000000000043</v>
      </c>
      <c r="C24" s="28">
        <f t="shared" si="9"/>
        <v>-13.773000000000025</v>
      </c>
      <c r="D24" s="28">
        <f t="shared" si="9"/>
        <v>-19.155999999999949</v>
      </c>
      <c r="E24" s="28">
        <f t="shared" si="9"/>
        <v>-58.695000000000164</v>
      </c>
      <c r="F24" s="28">
        <f t="shared" si="9"/>
        <v>-33.463999999999942</v>
      </c>
      <c r="G24" s="28">
        <f t="shared" si="9"/>
        <v>54.284000000000106</v>
      </c>
      <c r="H24" s="28">
        <f t="shared" si="9"/>
        <v>-44.372999999999593</v>
      </c>
    </row>
    <row r="25" spans="1:8">
      <c r="A25" s="20" t="s">
        <v>30</v>
      </c>
      <c r="B25" s="26">
        <f t="shared" ref="B25:H25" si="10">B24/B8</f>
        <v>-5.5515739566679656E-2</v>
      </c>
      <c r="C25" s="26">
        <f t="shared" si="10"/>
        <v>-2.28231582226671E-2</v>
      </c>
      <c r="D25" s="26">
        <f t="shared" si="10"/>
        <v>-1.8620040747134428E-2</v>
      </c>
      <c r="E25" s="26">
        <f t="shared" si="10"/>
        <v>-3.5039699122440551E-2</v>
      </c>
      <c r="F25" s="26">
        <f t="shared" si="10"/>
        <v>-1.5722911407333041E-2</v>
      </c>
      <c r="G25" s="26">
        <f t="shared" si="10"/>
        <v>2.0222965232697881E-2</v>
      </c>
      <c r="H25" s="26">
        <f t="shared" si="10"/>
        <v>-1.2947462591453207E-2</v>
      </c>
    </row>
    <row r="26" spans="1:8">
      <c r="A26" s="21"/>
      <c r="B26" s="29"/>
      <c r="C26" s="29"/>
      <c r="D26" s="29"/>
      <c r="E26" s="29"/>
      <c r="F26" s="29"/>
      <c r="G26" s="29"/>
      <c r="H26" s="29"/>
    </row>
    <row r="27" spans="1:8">
      <c r="A27" s="68" t="s">
        <v>31</v>
      </c>
      <c r="B27" s="69" t="s">
        <v>31</v>
      </c>
      <c r="C27" s="69" t="s">
        <v>31</v>
      </c>
      <c r="D27" s="69" t="s">
        <v>31</v>
      </c>
      <c r="E27" s="69" t="s">
        <v>31</v>
      </c>
      <c r="F27" s="69" t="s">
        <v>31</v>
      </c>
      <c r="G27" s="69" t="s">
        <v>31</v>
      </c>
      <c r="H27" s="69" t="s">
        <v>31</v>
      </c>
    </row>
    <row r="28" spans="1:8">
      <c r="A28" s="21" t="s">
        <v>32</v>
      </c>
      <c r="B28" s="27">
        <f>'Source Data'!B13</f>
        <v>-3.2000000000000001E-2</v>
      </c>
      <c r="C28" s="27">
        <f>'Source Data'!C13</f>
        <v>-30.434000000000001</v>
      </c>
      <c r="D28" s="27">
        <f>'Source Data'!D13</f>
        <v>-21.052</v>
      </c>
      <c r="E28" s="27">
        <f>'Source Data'!E13</f>
        <v>-16.535</v>
      </c>
      <c r="F28" s="27">
        <f>'Source Data'!F13</f>
        <v>-6.3019999999999996</v>
      </c>
      <c r="G28" s="27">
        <f>'Source Data'!G13</f>
        <v>-7.0679999999999996</v>
      </c>
      <c r="H28" s="27">
        <f>'Source Data'!H13</f>
        <v>-11.058999999999999</v>
      </c>
    </row>
    <row r="29" spans="1:8">
      <c r="A29" s="21" t="s">
        <v>33</v>
      </c>
      <c r="B29" s="27">
        <f>'Source Data'!B14</f>
        <v>4.1959999999999997</v>
      </c>
      <c r="C29" s="27">
        <f>'Source Data'!C14</f>
        <v>21.984999999999999</v>
      </c>
      <c r="D29" s="27">
        <f>'Source Data'!D14</f>
        <v>21.786000000000001</v>
      </c>
      <c r="E29" s="27">
        <f>'Source Data'!E14</f>
        <v>37.159999999999997</v>
      </c>
      <c r="F29" s="27">
        <f>'Source Data'!F14</f>
        <v>100.001</v>
      </c>
      <c r="G29" s="27">
        <f>'Source Data'!G14</f>
        <v>156.72399999999999</v>
      </c>
      <c r="H29" s="27">
        <f>'Source Data'!H14</f>
        <v>182.453</v>
      </c>
    </row>
    <row r="30" spans="1:8">
      <c r="A30" s="22" t="s">
        <v>34</v>
      </c>
      <c r="B30" s="28">
        <f t="shared" ref="B30:H30" si="11">SUM(B28:B29)</f>
        <v>4.1639999999999997</v>
      </c>
      <c r="C30" s="28">
        <f t="shared" si="11"/>
        <v>-8.4490000000000016</v>
      </c>
      <c r="D30" s="28">
        <f t="shared" si="11"/>
        <v>0.73400000000000176</v>
      </c>
      <c r="E30" s="28">
        <f t="shared" si="11"/>
        <v>20.624999999999996</v>
      </c>
      <c r="F30" s="28">
        <f t="shared" si="11"/>
        <v>93.699000000000012</v>
      </c>
      <c r="G30" s="28">
        <f t="shared" si="11"/>
        <v>149.65599999999998</v>
      </c>
      <c r="H30" s="28">
        <f t="shared" si="11"/>
        <v>171.39400000000001</v>
      </c>
    </row>
    <row r="31" spans="1:8">
      <c r="A31" s="22" t="s">
        <v>35</v>
      </c>
      <c r="B31" s="28">
        <f t="shared" ref="B31:H31" si="12">B24+B30</f>
        <v>-15.976000000000043</v>
      </c>
      <c r="C31" s="28">
        <f t="shared" si="12"/>
        <v>-22.222000000000026</v>
      </c>
      <c r="D31" s="28">
        <f t="shared" si="12"/>
        <v>-18.421999999999947</v>
      </c>
      <c r="E31" s="28">
        <f t="shared" si="12"/>
        <v>-38.070000000000164</v>
      </c>
      <c r="F31" s="28">
        <f t="shared" si="12"/>
        <v>60.23500000000007</v>
      </c>
      <c r="G31" s="28">
        <f t="shared" si="12"/>
        <v>203.94000000000008</v>
      </c>
      <c r="H31" s="28">
        <f t="shared" si="12"/>
        <v>127.02100000000041</v>
      </c>
    </row>
    <row r="32" spans="1:8">
      <c r="A32" s="23" t="s">
        <v>36</v>
      </c>
      <c r="B32" s="30">
        <f t="shared" ref="B32:H32" si="13">B31/B8</f>
        <v>-4.4037708804234091E-2</v>
      </c>
      <c r="C32" s="30">
        <f t="shared" si="13"/>
        <v>-3.6823946999499597E-2</v>
      </c>
      <c r="D32" s="30">
        <f t="shared" si="13"/>
        <v>-1.790657708518012E-2</v>
      </c>
      <c r="E32" s="30">
        <f t="shared" si="13"/>
        <v>-2.2727001373052454E-2</v>
      </c>
      <c r="F32" s="30">
        <f t="shared" si="13"/>
        <v>2.830114656409002E-2</v>
      </c>
      <c r="G32" s="30">
        <f t="shared" si="13"/>
        <v>7.5975822149369973E-2</v>
      </c>
      <c r="H32" s="30">
        <f t="shared" si="13"/>
        <v>3.7063070917652589E-2</v>
      </c>
    </row>
    <row r="33" spans="1:8">
      <c r="A33" s="21" t="s">
        <v>37</v>
      </c>
      <c r="B33" s="27">
        <f>'Source Data'!B17</f>
        <v>0.73399999999999999</v>
      </c>
      <c r="C33" s="27">
        <f>'Source Data'!C17</f>
        <v>2.3250000000000002</v>
      </c>
      <c r="D33" s="27">
        <f>'Source Data'!D17</f>
        <v>2.323</v>
      </c>
      <c r="E33" s="27">
        <f>'Source Data'!E17</f>
        <v>12.09</v>
      </c>
      <c r="F33" s="27">
        <f>'Source Data'!F17</f>
        <v>11.667</v>
      </c>
      <c r="G33" s="27">
        <f>'Source Data'!G17</f>
        <v>20.193999999999999</v>
      </c>
      <c r="H33" s="27">
        <f>'Source Data'!H17</f>
        <v>19.28</v>
      </c>
    </row>
    <row r="34" spans="1:8">
      <c r="A34" s="23" t="s">
        <v>38</v>
      </c>
      <c r="B34" s="30" t="str">
        <f t="shared" ref="B34:H34" si="14">IF(B31&gt;0,B33/B31,"")</f>
        <v/>
      </c>
      <c r="C34" s="30" t="str">
        <f t="shared" si="14"/>
        <v/>
      </c>
      <c r="D34" s="30" t="str">
        <f t="shared" si="14"/>
        <v/>
      </c>
      <c r="E34" s="30" t="str">
        <f t="shared" si="14"/>
        <v/>
      </c>
      <c r="F34" s="30">
        <f t="shared" si="14"/>
        <v>0.19369137544616893</v>
      </c>
      <c r="G34" s="30">
        <f t="shared" si="14"/>
        <v>9.9019319407668879E-2</v>
      </c>
      <c r="H34" s="30">
        <f t="shared" si="14"/>
        <v>0.15178592516198061</v>
      </c>
    </row>
    <row r="35" spans="1:8">
      <c r="A35" s="22" t="s">
        <v>39</v>
      </c>
      <c r="B35" s="28">
        <f t="shared" ref="B35:H35" si="15">B31-B33</f>
        <v>-16.710000000000043</v>
      </c>
      <c r="C35" s="28">
        <f t="shared" si="15"/>
        <v>-24.547000000000025</v>
      </c>
      <c r="D35" s="28">
        <f t="shared" si="15"/>
        <v>-20.744999999999948</v>
      </c>
      <c r="E35" s="28">
        <f t="shared" si="15"/>
        <v>-50.160000000000167</v>
      </c>
      <c r="F35" s="28">
        <f t="shared" si="15"/>
        <v>48.568000000000069</v>
      </c>
      <c r="G35" s="28">
        <f t="shared" si="15"/>
        <v>183.74600000000009</v>
      </c>
      <c r="H35" s="28">
        <f t="shared" si="15"/>
        <v>107.74100000000041</v>
      </c>
    </row>
    <row r="36" spans="1:8">
      <c r="A36" s="23" t="s">
        <v>40</v>
      </c>
      <c r="B36" s="30">
        <f t="shared" ref="B36:H36" si="16">B35/B8</f>
        <v>-4.6060973592811194E-2</v>
      </c>
      <c r="C36" s="30">
        <f t="shared" si="16"/>
        <v>-4.0676690981762062E-2</v>
      </c>
      <c r="D36" s="30">
        <f t="shared" si="16"/>
        <v>-2.0164582652918345E-2</v>
      </c>
      <c r="E36" s="30">
        <f t="shared" si="16"/>
        <v>-2.9944480926511953E-2</v>
      </c>
      <c r="F36" s="30">
        <f t="shared" si="16"/>
        <v>2.2819458559387804E-2</v>
      </c>
      <c r="G36" s="30">
        <f t="shared" si="16"/>
        <v>6.8452747948701265E-2</v>
      </c>
      <c r="H36" s="30">
        <f t="shared" si="16"/>
        <v>3.1437418409072597E-2</v>
      </c>
    </row>
    <row r="37" spans="1:8">
      <c r="A37" s="21"/>
      <c r="B37" s="31"/>
      <c r="C37" s="31"/>
      <c r="D37" s="31"/>
      <c r="E37" s="31"/>
      <c r="F37" s="31"/>
      <c r="G37" s="31"/>
      <c r="H37" s="31"/>
    </row>
    <row r="38" spans="1:8">
      <c r="A38" s="21" t="s">
        <v>41</v>
      </c>
      <c r="B38" s="32">
        <f>'Source Data'!B19</f>
        <v>-0.12</v>
      </c>
      <c r="C38" s="32">
        <f>'Source Data'!C19</f>
        <v>-0.08</v>
      </c>
      <c r="D38" s="32">
        <f>'Source Data'!D19</f>
        <v>-7.0000000000000007E-2</v>
      </c>
      <c r="E38" s="32">
        <f>'Source Data'!E19</f>
        <v>-0.16</v>
      </c>
      <c r="F38" s="32">
        <f>'Source Data'!F19</f>
        <v>0.15</v>
      </c>
      <c r="G38" s="32">
        <f>'Source Data'!G19</f>
        <v>0.55000000000000004</v>
      </c>
      <c r="H38" s="32">
        <f>'Source Data'!H19</f>
        <v>0.31</v>
      </c>
    </row>
    <row r="39" spans="1:8">
      <c r="A39" s="21" t="s">
        <v>42</v>
      </c>
      <c r="B39" s="32">
        <f>'Source Data'!B20</f>
        <v>-0.12</v>
      </c>
      <c r="C39" s="32">
        <f>'Source Data'!C20</f>
        <v>-0.08</v>
      </c>
      <c r="D39" s="32">
        <f>'Source Data'!D20</f>
        <v>-7.0000000000000007E-2</v>
      </c>
      <c r="E39" s="32">
        <f>'Source Data'!E20</f>
        <v>-0.16</v>
      </c>
      <c r="F39" s="32">
        <f>'Source Data'!F20</f>
        <v>0.14000000000000001</v>
      </c>
      <c r="G39" s="32">
        <f>'Source Data'!G20</f>
        <v>0.52</v>
      </c>
      <c r="H39" s="32">
        <f>'Source Data'!H20</f>
        <v>0.31</v>
      </c>
    </row>
    <row r="40" spans="1:8">
      <c r="A40" s="23" t="s">
        <v>43</v>
      </c>
      <c r="B40" s="30" t="str">
        <f>""</f>
        <v/>
      </c>
      <c r="C40" s="30" t="str">
        <f t="shared" ref="C40:H40" si="17">IF(OR(B39&lt;=0,C39&lt;=0),"",C39/B39-1)</f>
        <v/>
      </c>
      <c r="D40" s="30" t="str">
        <f t="shared" si="17"/>
        <v/>
      </c>
      <c r="E40" s="30" t="str">
        <f t="shared" si="17"/>
        <v/>
      </c>
      <c r="F40" s="30" t="str">
        <f t="shared" si="17"/>
        <v/>
      </c>
      <c r="G40" s="30">
        <f t="shared" si="17"/>
        <v>2.714285714285714</v>
      </c>
      <c r="H40" s="30">
        <f t="shared" si="17"/>
        <v>-0.40384615384615385</v>
      </c>
    </row>
    <row r="41" spans="1:8">
      <c r="A41" s="21" t="s">
        <v>44</v>
      </c>
      <c r="B41" s="33">
        <f>'Source Data'!B21</f>
        <v>139.87299999999999</v>
      </c>
      <c r="C41" s="33">
        <f>'Source Data'!C21</f>
        <v>300.35000000000002</v>
      </c>
      <c r="D41" s="33">
        <f>'Source Data'!D21</f>
        <v>309.048</v>
      </c>
      <c r="E41" s="33">
        <f>'Source Data'!E21</f>
        <v>315.41000000000003</v>
      </c>
      <c r="F41" s="33">
        <f>'Source Data'!F21</f>
        <v>324.03300000000002</v>
      </c>
      <c r="G41" s="33">
        <f>'Source Data'!G21</f>
        <v>336.17200000000003</v>
      </c>
      <c r="H41" s="33">
        <f>'Source Data'!H21</f>
        <v>347.30900000000003</v>
      </c>
    </row>
    <row r="42" spans="1:8">
      <c r="A42" s="21" t="s">
        <v>45</v>
      </c>
      <c r="B42" s="33">
        <f>'Source Data'!B22</f>
        <v>139.87299999999999</v>
      </c>
      <c r="C42" s="33">
        <f>'Source Data'!C22</f>
        <v>300.35000000000002</v>
      </c>
      <c r="D42" s="33">
        <f>'Source Data'!D22</f>
        <v>309.048</v>
      </c>
      <c r="E42" s="33">
        <f>'Source Data'!E22</f>
        <v>315.41000000000003</v>
      </c>
      <c r="F42" s="33">
        <f>'Source Data'!F22</f>
        <v>350.29199999999997</v>
      </c>
      <c r="G42" s="33">
        <f>'Source Data'!G22</f>
        <v>358.63600000000002</v>
      </c>
      <c r="H42" s="33">
        <f>'Source Data'!H22</f>
        <v>363.47199999999998</v>
      </c>
    </row>
    <row r="43" spans="1:8">
      <c r="A43" s="20" t="s">
        <v>46</v>
      </c>
      <c r="B43" s="26">
        <f t="shared" ref="B43:H43" si="18">B42/B41-1</f>
        <v>0</v>
      </c>
      <c r="C43" s="26">
        <f t="shared" si="18"/>
        <v>0</v>
      </c>
      <c r="D43" s="26">
        <f t="shared" si="18"/>
        <v>0</v>
      </c>
      <c r="E43" s="26">
        <f t="shared" si="18"/>
        <v>0</v>
      </c>
      <c r="F43" s="26">
        <f t="shared" si="18"/>
        <v>8.1038042421605061E-2</v>
      </c>
      <c r="G43" s="26">
        <f t="shared" si="18"/>
        <v>6.6822935878062317E-2</v>
      </c>
      <c r="H43" s="26">
        <f t="shared" si="18"/>
        <v>4.6537809270706942E-2</v>
      </c>
    </row>
    <row r="44" spans="1:8">
      <c r="A44" s="21" t="s">
        <v>47</v>
      </c>
      <c r="B44" s="33">
        <f>'Source Data'!B23</f>
        <v>296.38695000000001</v>
      </c>
      <c r="C44" s="33">
        <f>'Source Data'!C23</f>
        <v>305.88006300000001</v>
      </c>
      <c r="D44" s="33">
        <f>'Source Data'!D23</f>
        <v>313.36543699999999</v>
      </c>
      <c r="E44" s="33">
        <f>'Source Data'!E23</f>
        <v>319.189843</v>
      </c>
      <c r="F44" s="33">
        <f>'Source Data'!F23</f>
        <v>331.079746</v>
      </c>
      <c r="G44" s="33">
        <f>'Source Data'!G23</f>
        <v>342.11878200000001</v>
      </c>
      <c r="H44" s="33">
        <f>'Source Data'!H23</f>
        <v>352.52597100000003</v>
      </c>
    </row>
    <row r="45" spans="1:8">
      <c r="A45" s="24" t="s">
        <v>48</v>
      </c>
      <c r="B45" s="34" t="str">
        <f>""</f>
        <v/>
      </c>
      <c r="C45" s="34">
        <f t="shared" ref="C45:H45" si="19">IF(B44=0,"",C44/B44-1)</f>
        <v>3.2029456762519448E-2</v>
      </c>
      <c r="D45" s="34">
        <f t="shared" si="19"/>
        <v>2.4471598202854938E-2</v>
      </c>
      <c r="E45" s="34">
        <f t="shared" si="19"/>
        <v>1.8586625429274806E-2</v>
      </c>
      <c r="F45" s="34">
        <f t="shared" si="19"/>
        <v>3.7250254858516962E-2</v>
      </c>
      <c r="G45" s="34">
        <f t="shared" si="19"/>
        <v>3.3342528902387203E-2</v>
      </c>
      <c r="H45" s="34">
        <f t="shared" si="19"/>
        <v>3.0419811911992722E-2</v>
      </c>
    </row>
  </sheetData>
  <mergeCells count="6">
    <mergeCell ref="A27:H27"/>
    <mergeCell ref="A1:H1"/>
    <mergeCell ref="A2:H2"/>
    <mergeCell ref="A3:H3"/>
    <mergeCell ref="A7:H7"/>
    <mergeCell ref="A15:H15"/>
  </mergeCells>
  <conditionalFormatting sqref="B24:H25">
    <cfRule type="cellIs" dxfId="6" priority="1" operator="lessThan">
      <formula>0</formula>
    </cfRule>
  </conditionalFormatting>
  <conditionalFormatting sqref="B31:H36">
    <cfRule type="cellIs" dxfId="5" priority="2" operator="lessThan">
      <formula>0</formula>
    </cfRule>
  </conditionalFormatting>
  <conditionalFormatting sqref="B38:H40">
    <cfRule type="cellIs" dxfId="4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topLeftCell="A6" workbookViewId="0">
      <selection activeCell="J26" sqref="J26"/>
    </sheetView>
  </sheetViews>
  <sheetFormatPr baseColWidth="10" defaultColWidth="8.83203125" defaultRowHeight="15"/>
  <cols>
    <col min="1" max="1" width="43" customWidth="1"/>
    <col min="2" max="8" width="13" customWidth="1"/>
    <col min="9" max="9" width="14" customWidth="1"/>
    <col min="10" max="10" width="48" customWidth="1"/>
  </cols>
  <sheetData>
    <row r="1" spans="1:10" ht="30" customHeight="1">
      <c r="A1" s="64" t="s">
        <v>49</v>
      </c>
      <c r="B1" s="64" t="s">
        <v>49</v>
      </c>
      <c r="C1" s="64" t="s">
        <v>49</v>
      </c>
      <c r="D1" s="64" t="s">
        <v>49</v>
      </c>
      <c r="E1" s="64" t="s">
        <v>49</v>
      </c>
      <c r="F1" s="64" t="s">
        <v>49</v>
      </c>
      <c r="G1" s="64" t="s">
        <v>49</v>
      </c>
      <c r="H1" s="64" t="s">
        <v>49</v>
      </c>
      <c r="I1" s="64" t="s">
        <v>49</v>
      </c>
      <c r="J1" s="64" t="s">
        <v>49</v>
      </c>
    </row>
    <row r="2" spans="1:10" ht="30" customHeight="1">
      <c r="A2" s="65" t="s">
        <v>50</v>
      </c>
      <c r="B2" s="65" t="s">
        <v>50</v>
      </c>
      <c r="C2" s="65" t="s">
        <v>50</v>
      </c>
      <c r="D2" s="65" t="s">
        <v>50</v>
      </c>
      <c r="E2" s="65" t="s">
        <v>50</v>
      </c>
      <c r="F2" s="65" t="s">
        <v>50</v>
      </c>
      <c r="G2" s="65" t="s">
        <v>50</v>
      </c>
      <c r="H2" s="65" t="s">
        <v>50</v>
      </c>
      <c r="I2" s="65" t="s">
        <v>50</v>
      </c>
      <c r="J2" s="65" t="s">
        <v>50</v>
      </c>
    </row>
    <row r="3" spans="1:10">
      <c r="A3" s="4" t="s">
        <v>51</v>
      </c>
      <c r="B3" s="2">
        <v>2019</v>
      </c>
      <c r="C3" s="2">
        <v>2020</v>
      </c>
      <c r="D3" s="2">
        <v>2021</v>
      </c>
      <c r="E3" s="2">
        <v>2022</v>
      </c>
      <c r="F3" s="2">
        <v>2023</v>
      </c>
      <c r="G3" s="2">
        <v>2024</v>
      </c>
      <c r="H3" s="2">
        <v>2025</v>
      </c>
      <c r="I3" s="2" t="s">
        <v>52</v>
      </c>
      <c r="J3" s="3" t="s">
        <v>53</v>
      </c>
    </row>
    <row r="5" spans="1:10" ht="32">
      <c r="A5" s="5" t="s">
        <v>14</v>
      </c>
      <c r="B5" s="11">
        <v>362.78</v>
      </c>
      <c r="C5" s="11">
        <v>603.46600000000001</v>
      </c>
      <c r="D5" s="11">
        <v>1028.7840000000001</v>
      </c>
      <c r="E5" s="11">
        <v>1675.1</v>
      </c>
      <c r="F5" s="11">
        <v>2128.3589999999999</v>
      </c>
      <c r="G5" s="11">
        <v>2684.2750000000001</v>
      </c>
      <c r="H5" s="11">
        <v>3427.1579999999999</v>
      </c>
      <c r="I5" s="6" t="s">
        <v>54</v>
      </c>
      <c r="J5" s="6" t="s">
        <v>55</v>
      </c>
    </row>
    <row r="6" spans="1:10" ht="32">
      <c r="A6" s="7" t="s">
        <v>16</v>
      </c>
      <c r="B6" s="12">
        <v>88.948999999999998</v>
      </c>
      <c r="C6" s="12">
        <v>130.197</v>
      </c>
      <c r="D6" s="12">
        <v>234.245</v>
      </c>
      <c r="E6" s="12">
        <v>346.74299999999999</v>
      </c>
      <c r="F6" s="12">
        <v>409.90800000000002</v>
      </c>
      <c r="G6" s="12">
        <v>515.53099999999995</v>
      </c>
      <c r="H6" s="12">
        <v>686.95699999999999</v>
      </c>
      <c r="I6" s="8" t="s">
        <v>54</v>
      </c>
      <c r="J6" s="8" t="s">
        <v>55</v>
      </c>
    </row>
    <row r="7" spans="1:10" ht="32">
      <c r="A7" s="7" t="s">
        <v>56</v>
      </c>
      <c r="B7" s="12">
        <v>273.83100000000002</v>
      </c>
      <c r="C7" s="12">
        <v>473.26900000000001</v>
      </c>
      <c r="D7" s="12">
        <v>794.53899999999999</v>
      </c>
      <c r="E7" s="12">
        <v>1328.357</v>
      </c>
      <c r="F7" s="12">
        <v>1718.451</v>
      </c>
      <c r="G7" s="12">
        <v>2168.7440000000001</v>
      </c>
      <c r="H7" s="12">
        <v>2740.201</v>
      </c>
      <c r="I7" s="8" t="s">
        <v>54</v>
      </c>
      <c r="J7" s="8" t="s">
        <v>55</v>
      </c>
    </row>
    <row r="8" spans="1:10" ht="32">
      <c r="A8" s="7" t="s">
        <v>21</v>
      </c>
      <c r="B8" s="12">
        <v>111.425</v>
      </c>
      <c r="C8" s="12">
        <v>210.626</v>
      </c>
      <c r="D8" s="12">
        <v>419.76900000000001</v>
      </c>
      <c r="E8" s="12">
        <v>752.351</v>
      </c>
      <c r="F8" s="12">
        <v>962.447</v>
      </c>
      <c r="G8" s="12">
        <v>1152.703</v>
      </c>
      <c r="H8" s="12">
        <v>1548.451</v>
      </c>
      <c r="I8" s="8" t="s">
        <v>54</v>
      </c>
      <c r="J8" s="8" t="s">
        <v>55</v>
      </c>
    </row>
    <row r="9" spans="1:10" ht="32">
      <c r="A9" s="7" t="s">
        <v>22</v>
      </c>
      <c r="B9" s="12">
        <v>146.65700000000001</v>
      </c>
      <c r="C9" s="12">
        <v>213.66</v>
      </c>
      <c r="D9" s="12">
        <v>299.49700000000001</v>
      </c>
      <c r="E9" s="12">
        <v>495.28800000000001</v>
      </c>
      <c r="F9" s="12">
        <v>609.27599999999995</v>
      </c>
      <c r="G9" s="12">
        <v>756.60500000000002</v>
      </c>
      <c r="H9" s="12">
        <v>956.423</v>
      </c>
      <c r="I9" s="8" t="s">
        <v>54</v>
      </c>
      <c r="J9" s="8" t="s">
        <v>55</v>
      </c>
    </row>
    <row r="10" spans="1:10" ht="32">
      <c r="A10" s="7" t="s">
        <v>23</v>
      </c>
      <c r="B10" s="12">
        <v>35.889000000000003</v>
      </c>
      <c r="C10" s="12">
        <v>62.756</v>
      </c>
      <c r="D10" s="12">
        <v>94.429000000000002</v>
      </c>
      <c r="E10" s="12">
        <v>139.41300000000001</v>
      </c>
      <c r="F10" s="12">
        <v>180.19200000000001</v>
      </c>
      <c r="G10" s="12">
        <v>205.15199999999999</v>
      </c>
      <c r="H10" s="12">
        <v>279.7</v>
      </c>
      <c r="I10" s="8" t="s">
        <v>54</v>
      </c>
      <c r="J10" s="8" t="s">
        <v>55</v>
      </c>
    </row>
    <row r="11" spans="1:10" ht="32">
      <c r="A11" s="7" t="s">
        <v>57</v>
      </c>
      <c r="B11" s="12">
        <v>293.971</v>
      </c>
      <c r="C11" s="12">
        <v>487.04199999999997</v>
      </c>
      <c r="D11" s="12">
        <v>813.69500000000005</v>
      </c>
      <c r="E11" s="12">
        <v>1387.0519999999999</v>
      </c>
      <c r="F11" s="12">
        <v>1751.915</v>
      </c>
      <c r="G11" s="12">
        <v>2114.46</v>
      </c>
      <c r="H11" s="12">
        <v>2784.5740000000001</v>
      </c>
      <c r="I11" s="8" t="s">
        <v>54</v>
      </c>
      <c r="J11" s="8" t="s">
        <v>55</v>
      </c>
    </row>
    <row r="12" spans="1:10" ht="32">
      <c r="A12" s="7" t="s">
        <v>58</v>
      </c>
      <c r="B12" s="12">
        <v>-20.14</v>
      </c>
      <c r="C12" s="12">
        <v>-13.773</v>
      </c>
      <c r="D12" s="12">
        <v>-19.155999999999999</v>
      </c>
      <c r="E12" s="12">
        <v>-58.695</v>
      </c>
      <c r="F12" s="12">
        <v>-33.463999999999999</v>
      </c>
      <c r="G12" s="12">
        <v>54.283999999999999</v>
      </c>
      <c r="H12" s="12">
        <v>-44.372999999999998</v>
      </c>
      <c r="I12" s="8" t="s">
        <v>54</v>
      </c>
      <c r="J12" s="8" t="s">
        <v>55</v>
      </c>
    </row>
    <row r="13" spans="1:10" ht="32">
      <c r="A13" s="7" t="s">
        <v>32</v>
      </c>
      <c r="B13" s="12">
        <v>-3.2000000000000001E-2</v>
      </c>
      <c r="C13" s="12">
        <v>-30.434000000000001</v>
      </c>
      <c r="D13" s="12">
        <v>-21.052</v>
      </c>
      <c r="E13" s="12">
        <v>-16.535</v>
      </c>
      <c r="F13" s="12">
        <v>-6.3019999999999996</v>
      </c>
      <c r="G13" s="12">
        <v>-7.0679999999999996</v>
      </c>
      <c r="H13" s="12">
        <v>-11.058999999999999</v>
      </c>
      <c r="I13" s="8" t="s">
        <v>54</v>
      </c>
      <c r="J13" s="8" t="s">
        <v>55</v>
      </c>
    </row>
    <row r="14" spans="1:10" ht="32">
      <c r="A14" s="7" t="s">
        <v>33</v>
      </c>
      <c r="B14" s="12">
        <v>4.1959999999999997</v>
      </c>
      <c r="C14" s="12">
        <v>21.984999999999999</v>
      </c>
      <c r="D14" s="12">
        <v>21.786000000000001</v>
      </c>
      <c r="E14" s="12">
        <v>37.159999999999997</v>
      </c>
      <c r="F14" s="12">
        <v>100.001</v>
      </c>
      <c r="G14" s="12">
        <v>156.72399999999999</v>
      </c>
      <c r="H14" s="12">
        <v>182.453</v>
      </c>
      <c r="I14" s="8" t="s">
        <v>54</v>
      </c>
      <c r="J14" s="8" t="s">
        <v>55</v>
      </c>
    </row>
    <row r="15" spans="1:10" ht="32">
      <c r="A15" s="7" t="s">
        <v>59</v>
      </c>
      <c r="B15" s="12">
        <v>4.1639999999999997</v>
      </c>
      <c r="C15" s="12">
        <v>-8.4489999999999998</v>
      </c>
      <c r="D15" s="12">
        <v>0.73399999999999999</v>
      </c>
      <c r="E15" s="12">
        <v>20.625</v>
      </c>
      <c r="F15" s="12">
        <v>93.698999999999998</v>
      </c>
      <c r="G15" s="12">
        <v>149.65600000000001</v>
      </c>
      <c r="H15" s="12">
        <v>171.39400000000001</v>
      </c>
      <c r="I15" s="8" t="s">
        <v>54</v>
      </c>
      <c r="J15" s="8" t="s">
        <v>55</v>
      </c>
    </row>
    <row r="16" spans="1:10" ht="32">
      <c r="A16" s="7" t="s">
        <v>60</v>
      </c>
      <c r="B16" s="12">
        <v>-15.976000000000001</v>
      </c>
      <c r="C16" s="12">
        <v>-22.222000000000001</v>
      </c>
      <c r="D16" s="12">
        <v>-18.422000000000001</v>
      </c>
      <c r="E16" s="12">
        <v>-38.07</v>
      </c>
      <c r="F16" s="12">
        <v>60.234999999999999</v>
      </c>
      <c r="G16" s="12">
        <v>203.94</v>
      </c>
      <c r="H16" s="12">
        <v>127.021</v>
      </c>
      <c r="I16" s="8" t="s">
        <v>54</v>
      </c>
      <c r="J16" s="8" t="s">
        <v>55</v>
      </c>
    </row>
    <row r="17" spans="1:10" ht="32">
      <c r="A17" s="7" t="s">
        <v>37</v>
      </c>
      <c r="B17" s="12">
        <v>0.73399999999999999</v>
      </c>
      <c r="C17" s="12">
        <v>2.3250000000000002</v>
      </c>
      <c r="D17" s="12">
        <v>2.323</v>
      </c>
      <c r="E17" s="12">
        <v>12.09</v>
      </c>
      <c r="F17" s="12">
        <v>11.667</v>
      </c>
      <c r="G17" s="12">
        <v>20.193999999999999</v>
      </c>
      <c r="H17" s="12">
        <v>19.28</v>
      </c>
      <c r="I17" s="8" t="s">
        <v>54</v>
      </c>
      <c r="J17" s="8" t="s">
        <v>61</v>
      </c>
    </row>
    <row r="18" spans="1:10" ht="32">
      <c r="A18" s="7" t="s">
        <v>62</v>
      </c>
      <c r="B18" s="12">
        <v>-16.71</v>
      </c>
      <c r="C18" s="12">
        <v>-24.547000000000001</v>
      </c>
      <c r="D18" s="12">
        <v>-20.745000000000001</v>
      </c>
      <c r="E18" s="12">
        <v>-50.16</v>
      </c>
      <c r="F18" s="12">
        <v>48.567999999999998</v>
      </c>
      <c r="G18" s="12">
        <v>183.74600000000001</v>
      </c>
      <c r="H18" s="12">
        <v>107.741</v>
      </c>
      <c r="I18" s="8" t="s">
        <v>54</v>
      </c>
      <c r="J18" s="8" t="s">
        <v>55</v>
      </c>
    </row>
    <row r="19" spans="1:10" ht="32">
      <c r="A19" s="7" t="s">
        <v>41</v>
      </c>
      <c r="B19" s="13">
        <v>-0.12</v>
      </c>
      <c r="C19" s="13">
        <v>-0.08</v>
      </c>
      <c r="D19" s="13">
        <v>-7.0000000000000007E-2</v>
      </c>
      <c r="E19" s="13">
        <v>-0.16</v>
      </c>
      <c r="F19" s="13">
        <v>0.15</v>
      </c>
      <c r="G19" s="13">
        <v>0.55000000000000004</v>
      </c>
      <c r="H19" s="13">
        <v>0.31</v>
      </c>
      <c r="I19" s="8" t="s">
        <v>63</v>
      </c>
      <c r="J19" s="8" t="s">
        <v>55</v>
      </c>
    </row>
    <row r="20" spans="1:10" ht="32">
      <c r="A20" s="7" t="s">
        <v>42</v>
      </c>
      <c r="B20" s="13">
        <v>-0.12</v>
      </c>
      <c r="C20" s="13">
        <v>-0.08</v>
      </c>
      <c r="D20" s="13">
        <v>-7.0000000000000007E-2</v>
      </c>
      <c r="E20" s="13">
        <v>-0.16</v>
      </c>
      <c r="F20" s="13">
        <v>0.14000000000000001</v>
      </c>
      <c r="G20" s="13">
        <v>0.52</v>
      </c>
      <c r="H20" s="13">
        <v>0.31</v>
      </c>
      <c r="I20" s="8" t="s">
        <v>63</v>
      </c>
      <c r="J20" s="8" t="s">
        <v>55</v>
      </c>
    </row>
    <row r="21" spans="1:10" ht="32">
      <c r="A21" s="7" t="s">
        <v>44</v>
      </c>
      <c r="B21" s="14">
        <v>139.87299999999999</v>
      </c>
      <c r="C21" s="14">
        <v>300.35000000000002</v>
      </c>
      <c r="D21" s="14">
        <v>309.048</v>
      </c>
      <c r="E21" s="14">
        <v>315.41000000000003</v>
      </c>
      <c r="F21" s="14">
        <v>324.03300000000002</v>
      </c>
      <c r="G21" s="14">
        <v>336.17200000000003</v>
      </c>
      <c r="H21" s="14">
        <v>347.30900000000003</v>
      </c>
      <c r="I21" s="8" t="s">
        <v>64</v>
      </c>
      <c r="J21" s="8" t="s">
        <v>55</v>
      </c>
    </row>
    <row r="22" spans="1:10" ht="32">
      <c r="A22" s="7" t="s">
        <v>45</v>
      </c>
      <c r="B22" s="14">
        <v>139.87299999999999</v>
      </c>
      <c r="C22" s="14">
        <v>300.35000000000002</v>
      </c>
      <c r="D22" s="14">
        <v>309.048</v>
      </c>
      <c r="E22" s="14">
        <v>315.41000000000003</v>
      </c>
      <c r="F22" s="14">
        <v>350.29199999999997</v>
      </c>
      <c r="G22" s="14">
        <v>358.63600000000002</v>
      </c>
      <c r="H22" s="14">
        <v>363.47199999999998</v>
      </c>
      <c r="I22" s="8" t="s">
        <v>64</v>
      </c>
      <c r="J22" s="8" t="s">
        <v>55</v>
      </c>
    </row>
    <row r="23" spans="1:10" ht="32">
      <c r="A23" s="9" t="s">
        <v>47</v>
      </c>
      <c r="B23" s="15">
        <v>296.38695000000001</v>
      </c>
      <c r="C23" s="15">
        <v>305.88006300000001</v>
      </c>
      <c r="D23" s="15">
        <v>313.36543699999999</v>
      </c>
      <c r="E23" s="15">
        <v>319.189843</v>
      </c>
      <c r="F23" s="15">
        <v>331.079746</v>
      </c>
      <c r="G23" s="15">
        <v>342.11878200000001</v>
      </c>
      <c r="H23" s="15">
        <v>352.52597100000003</v>
      </c>
      <c r="I23" s="10" t="s">
        <v>64</v>
      </c>
      <c r="J23" s="10" t="s">
        <v>55</v>
      </c>
    </row>
  </sheetData>
  <mergeCells count="2">
    <mergeCell ref="A1:J1"/>
    <mergeCell ref="A2:J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showGridLines="0" tabSelected="1" workbookViewId="0">
      <selection sqref="A1:J1"/>
    </sheetView>
  </sheetViews>
  <sheetFormatPr baseColWidth="10" defaultColWidth="8.83203125" defaultRowHeight="15"/>
  <cols>
    <col min="1" max="1" width="13" customWidth="1"/>
    <col min="2" max="2" width="18" customWidth="1"/>
    <col min="3" max="3" width="50" customWidth="1"/>
    <col min="4" max="4" width="14" customWidth="1"/>
    <col min="5" max="5" width="28" customWidth="1"/>
    <col min="6" max="6" width="58" customWidth="1"/>
    <col min="7" max="7" width="14" customWidth="1"/>
    <col min="8" max="8" width="12" customWidth="1"/>
    <col min="9" max="9" width="3" customWidth="1"/>
    <col min="10" max="10" width="16" customWidth="1"/>
  </cols>
  <sheetData>
    <row r="1" spans="1:10" ht="30" customHeight="1">
      <c r="A1" s="64" t="s">
        <v>65</v>
      </c>
      <c r="B1" s="64" t="s">
        <v>65</v>
      </c>
      <c r="C1" s="64" t="s">
        <v>65</v>
      </c>
      <c r="D1" s="64" t="s">
        <v>65</v>
      </c>
      <c r="E1" s="64" t="s">
        <v>65</v>
      </c>
      <c r="F1" s="64" t="s">
        <v>65</v>
      </c>
      <c r="G1" s="64" t="s">
        <v>65</v>
      </c>
      <c r="H1" s="64" t="s">
        <v>65</v>
      </c>
      <c r="I1" s="64" t="s">
        <v>65</v>
      </c>
      <c r="J1" s="64" t="s">
        <v>65</v>
      </c>
    </row>
    <row r="3" spans="1:10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J3" s="52" t="s">
        <v>72</v>
      </c>
    </row>
    <row r="4" spans="1:10" ht="49">
      <c r="A4" s="36" t="s">
        <v>73</v>
      </c>
      <c r="B4" s="36" t="s">
        <v>74</v>
      </c>
      <c r="C4" s="36" t="s">
        <v>75</v>
      </c>
      <c r="D4" s="37">
        <v>44617</v>
      </c>
      <c r="E4" s="36" t="s">
        <v>76</v>
      </c>
      <c r="F4" s="42" t="s">
        <v>77</v>
      </c>
      <c r="J4" s="53" t="str">
        <f>IF(COUNTIF(H15:H56,"REVIEW")=0,"OK","REVIEW")</f>
        <v>OK</v>
      </c>
    </row>
    <row r="5" spans="1:10" ht="48">
      <c r="A5" s="38" t="s">
        <v>78</v>
      </c>
      <c r="B5" s="38" t="s">
        <v>79</v>
      </c>
      <c r="C5" s="38" t="s">
        <v>80</v>
      </c>
      <c r="D5" s="39">
        <v>44981</v>
      </c>
      <c r="E5" s="38" t="s">
        <v>76</v>
      </c>
      <c r="F5" s="43" t="s">
        <v>81</v>
      </c>
    </row>
    <row r="6" spans="1:10" ht="48">
      <c r="A6" s="40" t="s">
        <v>82</v>
      </c>
      <c r="B6" s="40" t="s">
        <v>83</v>
      </c>
      <c r="C6" s="40" t="s">
        <v>84</v>
      </c>
      <c r="D6" s="41">
        <v>46071</v>
      </c>
      <c r="E6" s="40" t="s">
        <v>85</v>
      </c>
      <c r="F6" s="44" t="s">
        <v>86</v>
      </c>
    </row>
    <row r="8" spans="1:10">
      <c r="A8" s="70" t="s">
        <v>87</v>
      </c>
      <c r="B8" s="70" t="s">
        <v>87</v>
      </c>
      <c r="C8" s="70" t="s">
        <v>87</v>
      </c>
      <c r="D8" s="70" t="s">
        <v>87</v>
      </c>
      <c r="E8" s="70" t="s">
        <v>87</v>
      </c>
      <c r="F8" s="70" t="s">
        <v>87</v>
      </c>
      <c r="G8" s="70" t="s">
        <v>87</v>
      </c>
      <c r="H8" s="70" t="s">
        <v>87</v>
      </c>
    </row>
    <row r="9" spans="1:10" ht="16">
      <c r="A9" s="45" t="s">
        <v>88</v>
      </c>
      <c r="B9" s="45" t="s">
        <v>89</v>
      </c>
      <c r="C9" s="45" t="s">
        <v>90</v>
      </c>
    </row>
    <row r="10" spans="1:10" ht="96">
      <c r="A10" s="38" t="s">
        <v>52</v>
      </c>
      <c r="B10" s="38" t="s">
        <v>91</v>
      </c>
      <c r="C10" s="38" t="s">
        <v>92</v>
      </c>
    </row>
    <row r="11" spans="1:10" ht="80">
      <c r="A11" s="40" t="s">
        <v>93</v>
      </c>
      <c r="B11" s="40" t="s">
        <v>94</v>
      </c>
      <c r="C11" s="40" t="s">
        <v>95</v>
      </c>
    </row>
    <row r="13" spans="1:10">
      <c r="A13" s="70" t="s">
        <v>96</v>
      </c>
      <c r="B13" s="70" t="s">
        <v>96</v>
      </c>
      <c r="C13" s="70" t="s">
        <v>96</v>
      </c>
      <c r="D13" s="70" t="s">
        <v>96</v>
      </c>
      <c r="E13" s="70" t="s">
        <v>96</v>
      </c>
      <c r="F13" s="70" t="s">
        <v>96</v>
      </c>
      <c r="G13" s="70" t="s">
        <v>96</v>
      </c>
      <c r="H13" s="70" t="s">
        <v>96</v>
      </c>
    </row>
    <row r="14" spans="1:10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102</v>
      </c>
      <c r="G14" s="1" t="s">
        <v>103</v>
      </c>
      <c r="H14" s="1" t="s">
        <v>104</v>
      </c>
    </row>
    <row r="15" spans="1:10">
      <c r="A15" s="19" t="s">
        <v>105</v>
      </c>
      <c r="B15" s="19">
        <v>2019</v>
      </c>
      <c r="C15" s="19" t="s">
        <v>106</v>
      </c>
      <c r="D15" s="46">
        <f>'Source Data'!B7</f>
        <v>273.83100000000002</v>
      </c>
      <c r="E15" s="46">
        <f>'Income Statement'!B12</f>
        <v>273.83099999999996</v>
      </c>
      <c r="F15" s="47">
        <f t="shared" ref="F15:F56" si="0">ROUND(E15-D15,6)</f>
        <v>0</v>
      </c>
      <c r="G15" s="47">
        <v>1E-3</v>
      </c>
      <c r="H15" s="19" t="str">
        <f t="shared" ref="H15:H56" si="1">IF(ABS(F15)&lt;=G15,"OK","REVIEW")</f>
        <v>OK</v>
      </c>
    </row>
    <row r="16" spans="1:10">
      <c r="A16" s="21" t="s">
        <v>107</v>
      </c>
      <c r="B16" s="21">
        <v>2020</v>
      </c>
      <c r="C16" s="21" t="s">
        <v>106</v>
      </c>
      <c r="D16" s="48">
        <f>'Source Data'!C7</f>
        <v>473.26900000000001</v>
      </c>
      <c r="E16" s="48">
        <f>'Income Statement'!C12</f>
        <v>473.26900000000001</v>
      </c>
      <c r="F16" s="49">
        <f t="shared" si="0"/>
        <v>0</v>
      </c>
      <c r="G16" s="49">
        <v>1E-3</v>
      </c>
      <c r="H16" s="21" t="str">
        <f t="shared" si="1"/>
        <v>OK</v>
      </c>
    </row>
    <row r="17" spans="1:8">
      <c r="A17" s="21" t="s">
        <v>108</v>
      </c>
      <c r="B17" s="21">
        <v>2021</v>
      </c>
      <c r="C17" s="21" t="s">
        <v>106</v>
      </c>
      <c r="D17" s="48">
        <f>'Source Data'!D7</f>
        <v>794.53899999999999</v>
      </c>
      <c r="E17" s="48">
        <f>'Income Statement'!D12</f>
        <v>794.5390000000001</v>
      </c>
      <c r="F17" s="49">
        <f t="shared" si="0"/>
        <v>0</v>
      </c>
      <c r="G17" s="49">
        <v>1E-3</v>
      </c>
      <c r="H17" s="21" t="str">
        <f t="shared" si="1"/>
        <v>OK</v>
      </c>
    </row>
    <row r="18" spans="1:8">
      <c r="A18" s="21" t="s">
        <v>109</v>
      </c>
      <c r="B18" s="21">
        <v>2022</v>
      </c>
      <c r="C18" s="21" t="s">
        <v>106</v>
      </c>
      <c r="D18" s="48">
        <f>'Source Data'!E7</f>
        <v>1328.357</v>
      </c>
      <c r="E18" s="48">
        <f>'Income Statement'!E12</f>
        <v>1328.357</v>
      </c>
      <c r="F18" s="49">
        <f t="shared" si="0"/>
        <v>0</v>
      </c>
      <c r="G18" s="49">
        <v>1E-3</v>
      </c>
      <c r="H18" s="21" t="str">
        <f t="shared" si="1"/>
        <v>OK</v>
      </c>
    </row>
    <row r="19" spans="1:8">
      <c r="A19" s="21" t="s">
        <v>110</v>
      </c>
      <c r="B19" s="21">
        <v>2023</v>
      </c>
      <c r="C19" s="21" t="s">
        <v>106</v>
      </c>
      <c r="D19" s="48">
        <f>'Source Data'!F7</f>
        <v>1718.451</v>
      </c>
      <c r="E19" s="48">
        <f>'Income Statement'!F12</f>
        <v>1718.451</v>
      </c>
      <c r="F19" s="49">
        <f t="shared" si="0"/>
        <v>0</v>
      </c>
      <c r="G19" s="49">
        <v>1E-3</v>
      </c>
      <c r="H19" s="21" t="str">
        <f t="shared" si="1"/>
        <v>OK</v>
      </c>
    </row>
    <row r="20" spans="1:8">
      <c r="A20" s="21" t="s">
        <v>111</v>
      </c>
      <c r="B20" s="21">
        <v>2024</v>
      </c>
      <c r="C20" s="21" t="s">
        <v>106</v>
      </c>
      <c r="D20" s="48">
        <f>'Source Data'!G7</f>
        <v>2168.7440000000001</v>
      </c>
      <c r="E20" s="48">
        <f>'Income Statement'!G12</f>
        <v>2168.7440000000001</v>
      </c>
      <c r="F20" s="49">
        <f t="shared" si="0"/>
        <v>0</v>
      </c>
      <c r="G20" s="49">
        <v>1E-3</v>
      </c>
      <c r="H20" s="21" t="str">
        <f t="shared" si="1"/>
        <v>OK</v>
      </c>
    </row>
    <row r="21" spans="1:8">
      <c r="A21" s="21" t="s">
        <v>112</v>
      </c>
      <c r="B21" s="21">
        <v>2025</v>
      </c>
      <c r="C21" s="21" t="s">
        <v>106</v>
      </c>
      <c r="D21" s="48">
        <f>'Source Data'!H7</f>
        <v>2740.201</v>
      </c>
      <c r="E21" s="48">
        <f>'Income Statement'!H12</f>
        <v>2740.201</v>
      </c>
      <c r="F21" s="49">
        <f t="shared" si="0"/>
        <v>0</v>
      </c>
      <c r="G21" s="49">
        <v>1E-3</v>
      </c>
      <c r="H21" s="21" t="str">
        <f t="shared" si="1"/>
        <v>OK</v>
      </c>
    </row>
    <row r="22" spans="1:8">
      <c r="A22" s="21" t="s">
        <v>113</v>
      </c>
      <c r="B22" s="21">
        <v>2019</v>
      </c>
      <c r="C22" s="21" t="s">
        <v>114</v>
      </c>
      <c r="D22" s="48">
        <f>'Source Data'!B11</f>
        <v>293.971</v>
      </c>
      <c r="E22" s="48">
        <f>'Income Statement'!B19</f>
        <v>293.971</v>
      </c>
      <c r="F22" s="49">
        <f t="shared" si="0"/>
        <v>0</v>
      </c>
      <c r="G22" s="49">
        <v>1E-3</v>
      </c>
      <c r="H22" s="21" t="str">
        <f t="shared" si="1"/>
        <v>OK</v>
      </c>
    </row>
    <row r="23" spans="1:8">
      <c r="A23" s="21" t="s">
        <v>115</v>
      </c>
      <c r="B23" s="21">
        <v>2020</v>
      </c>
      <c r="C23" s="21" t="s">
        <v>114</v>
      </c>
      <c r="D23" s="48">
        <f>'Source Data'!C11</f>
        <v>487.04199999999997</v>
      </c>
      <c r="E23" s="48">
        <f>'Income Statement'!C19</f>
        <v>487.04200000000003</v>
      </c>
      <c r="F23" s="49">
        <f t="shared" si="0"/>
        <v>0</v>
      </c>
      <c r="G23" s="49">
        <v>1E-3</v>
      </c>
      <c r="H23" s="21" t="str">
        <f t="shared" si="1"/>
        <v>OK</v>
      </c>
    </row>
    <row r="24" spans="1:8">
      <c r="A24" s="21" t="s">
        <v>116</v>
      </c>
      <c r="B24" s="21">
        <v>2021</v>
      </c>
      <c r="C24" s="21" t="s">
        <v>114</v>
      </c>
      <c r="D24" s="48">
        <f>'Source Data'!D11</f>
        <v>813.69500000000005</v>
      </c>
      <c r="E24" s="48">
        <f>'Income Statement'!D19</f>
        <v>813.69500000000005</v>
      </c>
      <c r="F24" s="49">
        <f t="shared" si="0"/>
        <v>0</v>
      </c>
      <c r="G24" s="49">
        <v>1E-3</v>
      </c>
      <c r="H24" s="21" t="str">
        <f t="shared" si="1"/>
        <v>OK</v>
      </c>
    </row>
    <row r="25" spans="1:8">
      <c r="A25" s="21" t="s">
        <v>117</v>
      </c>
      <c r="B25" s="21">
        <v>2022</v>
      </c>
      <c r="C25" s="21" t="s">
        <v>114</v>
      </c>
      <c r="D25" s="48">
        <f>'Source Data'!E11</f>
        <v>1387.0519999999999</v>
      </c>
      <c r="E25" s="48">
        <f>'Income Statement'!E19</f>
        <v>1387.0520000000001</v>
      </c>
      <c r="F25" s="49">
        <f t="shared" si="0"/>
        <v>0</v>
      </c>
      <c r="G25" s="49">
        <v>1E-3</v>
      </c>
      <c r="H25" s="21" t="str">
        <f t="shared" si="1"/>
        <v>OK</v>
      </c>
    </row>
    <row r="26" spans="1:8">
      <c r="A26" s="21" t="s">
        <v>118</v>
      </c>
      <c r="B26" s="21">
        <v>2023</v>
      </c>
      <c r="C26" s="21" t="s">
        <v>114</v>
      </c>
      <c r="D26" s="48">
        <f>'Source Data'!F11</f>
        <v>1751.915</v>
      </c>
      <c r="E26" s="48">
        <f>'Income Statement'!F19</f>
        <v>1751.915</v>
      </c>
      <c r="F26" s="49">
        <f t="shared" si="0"/>
        <v>0</v>
      </c>
      <c r="G26" s="49">
        <v>1E-3</v>
      </c>
      <c r="H26" s="21" t="str">
        <f t="shared" si="1"/>
        <v>OK</v>
      </c>
    </row>
    <row r="27" spans="1:8">
      <c r="A27" s="21" t="s">
        <v>119</v>
      </c>
      <c r="B27" s="21">
        <v>2024</v>
      </c>
      <c r="C27" s="21" t="s">
        <v>114</v>
      </c>
      <c r="D27" s="48">
        <f>'Source Data'!G11</f>
        <v>2114.46</v>
      </c>
      <c r="E27" s="48">
        <f>'Income Statement'!G19</f>
        <v>2114.46</v>
      </c>
      <c r="F27" s="49">
        <f t="shared" si="0"/>
        <v>0</v>
      </c>
      <c r="G27" s="49">
        <v>1E-3</v>
      </c>
      <c r="H27" s="21" t="str">
        <f t="shared" si="1"/>
        <v>OK</v>
      </c>
    </row>
    <row r="28" spans="1:8">
      <c r="A28" s="21" t="s">
        <v>120</v>
      </c>
      <c r="B28" s="21">
        <v>2025</v>
      </c>
      <c r="C28" s="21" t="s">
        <v>114</v>
      </c>
      <c r="D28" s="48">
        <f>'Source Data'!H11</f>
        <v>2784.5740000000001</v>
      </c>
      <c r="E28" s="48">
        <f>'Income Statement'!H19</f>
        <v>2784.5739999999996</v>
      </c>
      <c r="F28" s="49">
        <f t="shared" si="0"/>
        <v>0</v>
      </c>
      <c r="G28" s="49">
        <v>1E-3</v>
      </c>
      <c r="H28" s="21" t="str">
        <f t="shared" si="1"/>
        <v>OK</v>
      </c>
    </row>
    <row r="29" spans="1:8">
      <c r="A29" s="21" t="s">
        <v>121</v>
      </c>
      <c r="B29" s="21">
        <v>2019</v>
      </c>
      <c r="C29" s="21" t="s">
        <v>122</v>
      </c>
      <c r="D29" s="48">
        <f>'Source Data'!B12</f>
        <v>-20.14</v>
      </c>
      <c r="E29" s="48">
        <f>'Income Statement'!B24</f>
        <v>-20.140000000000043</v>
      </c>
      <c r="F29" s="49">
        <f t="shared" si="0"/>
        <v>0</v>
      </c>
      <c r="G29" s="49">
        <v>1E-3</v>
      </c>
      <c r="H29" s="21" t="str">
        <f t="shared" si="1"/>
        <v>OK</v>
      </c>
    </row>
    <row r="30" spans="1:8">
      <c r="A30" s="21" t="s">
        <v>123</v>
      </c>
      <c r="B30" s="21">
        <v>2020</v>
      </c>
      <c r="C30" s="21" t="s">
        <v>122</v>
      </c>
      <c r="D30" s="48">
        <f>'Source Data'!C12</f>
        <v>-13.773</v>
      </c>
      <c r="E30" s="48">
        <f>'Income Statement'!C24</f>
        <v>-13.773000000000025</v>
      </c>
      <c r="F30" s="49">
        <f t="shared" si="0"/>
        <v>0</v>
      </c>
      <c r="G30" s="49">
        <v>1E-3</v>
      </c>
      <c r="H30" s="21" t="str">
        <f t="shared" si="1"/>
        <v>OK</v>
      </c>
    </row>
    <row r="31" spans="1:8">
      <c r="A31" s="21" t="s">
        <v>124</v>
      </c>
      <c r="B31" s="21">
        <v>2021</v>
      </c>
      <c r="C31" s="21" t="s">
        <v>122</v>
      </c>
      <c r="D31" s="48">
        <f>'Source Data'!D12</f>
        <v>-19.155999999999999</v>
      </c>
      <c r="E31" s="48">
        <f>'Income Statement'!D24</f>
        <v>-19.155999999999949</v>
      </c>
      <c r="F31" s="49">
        <f t="shared" si="0"/>
        <v>0</v>
      </c>
      <c r="G31" s="49">
        <v>1E-3</v>
      </c>
      <c r="H31" s="21" t="str">
        <f t="shared" si="1"/>
        <v>OK</v>
      </c>
    </row>
    <row r="32" spans="1:8">
      <c r="A32" s="21" t="s">
        <v>125</v>
      </c>
      <c r="B32" s="21">
        <v>2022</v>
      </c>
      <c r="C32" s="21" t="s">
        <v>122</v>
      </c>
      <c r="D32" s="48">
        <f>'Source Data'!E12</f>
        <v>-58.695</v>
      </c>
      <c r="E32" s="48">
        <f>'Income Statement'!E24</f>
        <v>-58.695000000000164</v>
      </c>
      <c r="F32" s="49">
        <f t="shared" si="0"/>
        <v>0</v>
      </c>
      <c r="G32" s="49">
        <v>1E-3</v>
      </c>
      <c r="H32" s="21" t="str">
        <f t="shared" si="1"/>
        <v>OK</v>
      </c>
    </row>
    <row r="33" spans="1:8">
      <c r="A33" s="21" t="s">
        <v>126</v>
      </c>
      <c r="B33" s="21">
        <v>2023</v>
      </c>
      <c r="C33" s="21" t="s">
        <v>122</v>
      </c>
      <c r="D33" s="48">
        <f>'Source Data'!F12</f>
        <v>-33.463999999999999</v>
      </c>
      <c r="E33" s="48">
        <f>'Income Statement'!F24</f>
        <v>-33.463999999999942</v>
      </c>
      <c r="F33" s="49">
        <f t="shared" si="0"/>
        <v>0</v>
      </c>
      <c r="G33" s="49">
        <v>1E-3</v>
      </c>
      <c r="H33" s="21" t="str">
        <f t="shared" si="1"/>
        <v>OK</v>
      </c>
    </row>
    <row r="34" spans="1:8">
      <c r="A34" s="21" t="s">
        <v>127</v>
      </c>
      <c r="B34" s="21">
        <v>2024</v>
      </c>
      <c r="C34" s="21" t="s">
        <v>122</v>
      </c>
      <c r="D34" s="48">
        <f>'Source Data'!G12</f>
        <v>54.283999999999999</v>
      </c>
      <c r="E34" s="48">
        <f>'Income Statement'!G24</f>
        <v>54.284000000000106</v>
      </c>
      <c r="F34" s="49">
        <f t="shared" si="0"/>
        <v>0</v>
      </c>
      <c r="G34" s="49">
        <v>1E-3</v>
      </c>
      <c r="H34" s="21" t="str">
        <f t="shared" si="1"/>
        <v>OK</v>
      </c>
    </row>
    <row r="35" spans="1:8">
      <c r="A35" s="21" t="s">
        <v>128</v>
      </c>
      <c r="B35" s="21">
        <v>2025</v>
      </c>
      <c r="C35" s="21" t="s">
        <v>122</v>
      </c>
      <c r="D35" s="48">
        <f>'Source Data'!H12</f>
        <v>-44.372999999999998</v>
      </c>
      <c r="E35" s="48">
        <f>'Income Statement'!H24</f>
        <v>-44.372999999999593</v>
      </c>
      <c r="F35" s="49">
        <f t="shared" si="0"/>
        <v>0</v>
      </c>
      <c r="G35" s="49">
        <v>1E-3</v>
      </c>
      <c r="H35" s="21" t="str">
        <f t="shared" si="1"/>
        <v>OK</v>
      </c>
    </row>
    <row r="36" spans="1:8">
      <c r="A36" s="21" t="s">
        <v>129</v>
      </c>
      <c r="B36" s="21">
        <v>2019</v>
      </c>
      <c r="C36" s="21" t="s">
        <v>130</v>
      </c>
      <c r="D36" s="48">
        <f>'Source Data'!B15</f>
        <v>4.1639999999999997</v>
      </c>
      <c r="E36" s="48">
        <f>'Income Statement'!B30</f>
        <v>4.1639999999999997</v>
      </c>
      <c r="F36" s="49">
        <f t="shared" si="0"/>
        <v>0</v>
      </c>
      <c r="G36" s="49">
        <v>1E-3</v>
      </c>
      <c r="H36" s="21" t="str">
        <f t="shared" si="1"/>
        <v>OK</v>
      </c>
    </row>
    <row r="37" spans="1:8">
      <c r="A37" s="21" t="s">
        <v>131</v>
      </c>
      <c r="B37" s="21">
        <v>2020</v>
      </c>
      <c r="C37" s="21" t="s">
        <v>130</v>
      </c>
      <c r="D37" s="48">
        <f>'Source Data'!C15</f>
        <v>-8.4489999999999998</v>
      </c>
      <c r="E37" s="48">
        <f>'Income Statement'!C30</f>
        <v>-8.4490000000000016</v>
      </c>
      <c r="F37" s="49">
        <f t="shared" si="0"/>
        <v>0</v>
      </c>
      <c r="G37" s="49">
        <v>1E-3</v>
      </c>
      <c r="H37" s="21" t="str">
        <f t="shared" si="1"/>
        <v>OK</v>
      </c>
    </row>
    <row r="38" spans="1:8">
      <c r="A38" s="21" t="s">
        <v>132</v>
      </c>
      <c r="B38" s="21">
        <v>2021</v>
      </c>
      <c r="C38" s="21" t="s">
        <v>130</v>
      </c>
      <c r="D38" s="48">
        <f>'Source Data'!D15</f>
        <v>0.73399999999999999</v>
      </c>
      <c r="E38" s="48">
        <f>'Income Statement'!D30</f>
        <v>0.73400000000000176</v>
      </c>
      <c r="F38" s="49">
        <f t="shared" si="0"/>
        <v>0</v>
      </c>
      <c r="G38" s="49">
        <v>1E-3</v>
      </c>
      <c r="H38" s="21" t="str">
        <f t="shared" si="1"/>
        <v>OK</v>
      </c>
    </row>
    <row r="39" spans="1:8">
      <c r="A39" s="21" t="s">
        <v>133</v>
      </c>
      <c r="B39" s="21">
        <v>2022</v>
      </c>
      <c r="C39" s="21" t="s">
        <v>130</v>
      </c>
      <c r="D39" s="48">
        <f>'Source Data'!E15</f>
        <v>20.625</v>
      </c>
      <c r="E39" s="48">
        <f>'Income Statement'!E30</f>
        <v>20.624999999999996</v>
      </c>
      <c r="F39" s="49">
        <f t="shared" si="0"/>
        <v>0</v>
      </c>
      <c r="G39" s="49">
        <v>1E-3</v>
      </c>
      <c r="H39" s="21" t="str">
        <f t="shared" si="1"/>
        <v>OK</v>
      </c>
    </row>
    <row r="40" spans="1:8">
      <c r="A40" s="21" t="s">
        <v>134</v>
      </c>
      <c r="B40" s="21">
        <v>2023</v>
      </c>
      <c r="C40" s="21" t="s">
        <v>130</v>
      </c>
      <c r="D40" s="48">
        <f>'Source Data'!F15</f>
        <v>93.698999999999998</v>
      </c>
      <c r="E40" s="48">
        <f>'Income Statement'!F30</f>
        <v>93.699000000000012</v>
      </c>
      <c r="F40" s="49">
        <f t="shared" si="0"/>
        <v>0</v>
      </c>
      <c r="G40" s="49">
        <v>1E-3</v>
      </c>
      <c r="H40" s="21" t="str">
        <f t="shared" si="1"/>
        <v>OK</v>
      </c>
    </row>
    <row r="41" spans="1:8">
      <c r="A41" s="21" t="s">
        <v>135</v>
      </c>
      <c r="B41" s="21">
        <v>2024</v>
      </c>
      <c r="C41" s="21" t="s">
        <v>130</v>
      </c>
      <c r="D41" s="48">
        <f>'Source Data'!G15</f>
        <v>149.65600000000001</v>
      </c>
      <c r="E41" s="48">
        <f>'Income Statement'!G30</f>
        <v>149.65599999999998</v>
      </c>
      <c r="F41" s="49">
        <f t="shared" si="0"/>
        <v>0</v>
      </c>
      <c r="G41" s="49">
        <v>1E-3</v>
      </c>
      <c r="H41" s="21" t="str">
        <f t="shared" si="1"/>
        <v>OK</v>
      </c>
    </row>
    <row r="42" spans="1:8">
      <c r="A42" s="21" t="s">
        <v>136</v>
      </c>
      <c r="B42" s="21">
        <v>2025</v>
      </c>
      <c r="C42" s="21" t="s">
        <v>130</v>
      </c>
      <c r="D42" s="48">
        <f>'Source Data'!H15</f>
        <v>171.39400000000001</v>
      </c>
      <c r="E42" s="48">
        <f>'Income Statement'!H30</f>
        <v>171.39400000000001</v>
      </c>
      <c r="F42" s="49">
        <f t="shared" si="0"/>
        <v>0</v>
      </c>
      <c r="G42" s="49">
        <v>1E-3</v>
      </c>
      <c r="H42" s="21" t="str">
        <f t="shared" si="1"/>
        <v>OK</v>
      </c>
    </row>
    <row r="43" spans="1:8">
      <c r="A43" s="21" t="s">
        <v>137</v>
      </c>
      <c r="B43" s="21">
        <v>2019</v>
      </c>
      <c r="C43" s="21" t="s">
        <v>138</v>
      </c>
      <c r="D43" s="48">
        <f>'Source Data'!B16</f>
        <v>-15.976000000000001</v>
      </c>
      <c r="E43" s="48">
        <f>'Income Statement'!B31</f>
        <v>-15.976000000000043</v>
      </c>
      <c r="F43" s="49">
        <f t="shared" si="0"/>
        <v>0</v>
      </c>
      <c r="G43" s="49">
        <v>1E-3</v>
      </c>
      <c r="H43" s="21" t="str">
        <f t="shared" si="1"/>
        <v>OK</v>
      </c>
    </row>
    <row r="44" spans="1:8">
      <c r="A44" s="21" t="s">
        <v>139</v>
      </c>
      <c r="B44" s="21">
        <v>2020</v>
      </c>
      <c r="C44" s="21" t="s">
        <v>138</v>
      </c>
      <c r="D44" s="48">
        <f>'Source Data'!C16</f>
        <v>-22.222000000000001</v>
      </c>
      <c r="E44" s="48">
        <f>'Income Statement'!C31</f>
        <v>-22.222000000000026</v>
      </c>
      <c r="F44" s="49">
        <f t="shared" si="0"/>
        <v>0</v>
      </c>
      <c r="G44" s="49">
        <v>1E-3</v>
      </c>
      <c r="H44" s="21" t="str">
        <f t="shared" si="1"/>
        <v>OK</v>
      </c>
    </row>
    <row r="45" spans="1:8">
      <c r="A45" s="21" t="s">
        <v>140</v>
      </c>
      <c r="B45" s="21">
        <v>2021</v>
      </c>
      <c r="C45" s="21" t="s">
        <v>138</v>
      </c>
      <c r="D45" s="48">
        <f>'Source Data'!D16</f>
        <v>-18.422000000000001</v>
      </c>
      <c r="E45" s="48">
        <f>'Income Statement'!D31</f>
        <v>-18.421999999999947</v>
      </c>
      <c r="F45" s="49">
        <f t="shared" si="0"/>
        <v>0</v>
      </c>
      <c r="G45" s="49">
        <v>1E-3</v>
      </c>
      <c r="H45" s="21" t="str">
        <f t="shared" si="1"/>
        <v>OK</v>
      </c>
    </row>
    <row r="46" spans="1:8">
      <c r="A46" s="21" t="s">
        <v>141</v>
      </c>
      <c r="B46" s="21">
        <v>2022</v>
      </c>
      <c r="C46" s="21" t="s">
        <v>138</v>
      </c>
      <c r="D46" s="48">
        <f>'Source Data'!E16</f>
        <v>-38.07</v>
      </c>
      <c r="E46" s="48">
        <f>'Income Statement'!E31</f>
        <v>-38.070000000000164</v>
      </c>
      <c r="F46" s="49">
        <f t="shared" si="0"/>
        <v>0</v>
      </c>
      <c r="G46" s="49">
        <v>1E-3</v>
      </c>
      <c r="H46" s="21" t="str">
        <f t="shared" si="1"/>
        <v>OK</v>
      </c>
    </row>
    <row r="47" spans="1:8">
      <c r="A47" s="21" t="s">
        <v>142</v>
      </c>
      <c r="B47" s="21">
        <v>2023</v>
      </c>
      <c r="C47" s="21" t="s">
        <v>138</v>
      </c>
      <c r="D47" s="48">
        <f>'Source Data'!F16</f>
        <v>60.234999999999999</v>
      </c>
      <c r="E47" s="48">
        <f>'Income Statement'!F31</f>
        <v>60.23500000000007</v>
      </c>
      <c r="F47" s="49">
        <f t="shared" si="0"/>
        <v>0</v>
      </c>
      <c r="G47" s="49">
        <v>1E-3</v>
      </c>
      <c r="H47" s="21" t="str">
        <f t="shared" si="1"/>
        <v>OK</v>
      </c>
    </row>
    <row r="48" spans="1:8">
      <c r="A48" s="21" t="s">
        <v>143</v>
      </c>
      <c r="B48" s="21">
        <v>2024</v>
      </c>
      <c r="C48" s="21" t="s">
        <v>138</v>
      </c>
      <c r="D48" s="48">
        <f>'Source Data'!G16</f>
        <v>203.94</v>
      </c>
      <c r="E48" s="48">
        <f>'Income Statement'!G31</f>
        <v>203.94000000000008</v>
      </c>
      <c r="F48" s="49">
        <f t="shared" si="0"/>
        <v>0</v>
      </c>
      <c r="G48" s="49">
        <v>1E-3</v>
      </c>
      <c r="H48" s="21" t="str">
        <f t="shared" si="1"/>
        <v>OK</v>
      </c>
    </row>
    <row r="49" spans="1:8">
      <c r="A49" s="21" t="s">
        <v>144</v>
      </c>
      <c r="B49" s="21">
        <v>2025</v>
      </c>
      <c r="C49" s="21" t="s">
        <v>138</v>
      </c>
      <c r="D49" s="48">
        <f>'Source Data'!H16</f>
        <v>127.021</v>
      </c>
      <c r="E49" s="48">
        <f>'Income Statement'!H31</f>
        <v>127.02100000000041</v>
      </c>
      <c r="F49" s="49">
        <f t="shared" si="0"/>
        <v>0</v>
      </c>
      <c r="G49" s="49">
        <v>1E-3</v>
      </c>
      <c r="H49" s="21" t="str">
        <f t="shared" si="1"/>
        <v>OK</v>
      </c>
    </row>
    <row r="50" spans="1:8">
      <c r="A50" s="21" t="s">
        <v>145</v>
      </c>
      <c r="B50" s="21">
        <v>2019</v>
      </c>
      <c r="C50" s="21" t="s">
        <v>146</v>
      </c>
      <c r="D50" s="48">
        <f>'Source Data'!B18</f>
        <v>-16.71</v>
      </c>
      <c r="E50" s="48">
        <f>'Income Statement'!B35</f>
        <v>-16.710000000000043</v>
      </c>
      <c r="F50" s="49">
        <f t="shared" si="0"/>
        <v>0</v>
      </c>
      <c r="G50" s="49">
        <v>1E-3</v>
      </c>
      <c r="H50" s="21" t="str">
        <f t="shared" si="1"/>
        <v>OK</v>
      </c>
    </row>
    <row r="51" spans="1:8">
      <c r="A51" s="21" t="s">
        <v>147</v>
      </c>
      <c r="B51" s="21">
        <v>2020</v>
      </c>
      <c r="C51" s="21" t="s">
        <v>146</v>
      </c>
      <c r="D51" s="48">
        <f>'Source Data'!C18</f>
        <v>-24.547000000000001</v>
      </c>
      <c r="E51" s="48">
        <f>'Income Statement'!C35</f>
        <v>-24.547000000000025</v>
      </c>
      <c r="F51" s="49">
        <f t="shared" si="0"/>
        <v>0</v>
      </c>
      <c r="G51" s="49">
        <v>1E-3</v>
      </c>
      <c r="H51" s="21" t="str">
        <f t="shared" si="1"/>
        <v>OK</v>
      </c>
    </row>
    <row r="52" spans="1:8">
      <c r="A52" s="21" t="s">
        <v>148</v>
      </c>
      <c r="B52" s="21">
        <v>2021</v>
      </c>
      <c r="C52" s="21" t="s">
        <v>146</v>
      </c>
      <c r="D52" s="48">
        <f>'Source Data'!D18</f>
        <v>-20.745000000000001</v>
      </c>
      <c r="E52" s="48">
        <f>'Income Statement'!D35</f>
        <v>-20.744999999999948</v>
      </c>
      <c r="F52" s="49">
        <f t="shared" si="0"/>
        <v>0</v>
      </c>
      <c r="G52" s="49">
        <v>1E-3</v>
      </c>
      <c r="H52" s="21" t="str">
        <f t="shared" si="1"/>
        <v>OK</v>
      </c>
    </row>
    <row r="53" spans="1:8">
      <c r="A53" s="21" t="s">
        <v>149</v>
      </c>
      <c r="B53" s="21">
        <v>2022</v>
      </c>
      <c r="C53" s="21" t="s">
        <v>146</v>
      </c>
      <c r="D53" s="48">
        <f>'Source Data'!E18</f>
        <v>-50.16</v>
      </c>
      <c r="E53" s="48">
        <f>'Income Statement'!E35</f>
        <v>-50.160000000000167</v>
      </c>
      <c r="F53" s="49">
        <f t="shared" si="0"/>
        <v>0</v>
      </c>
      <c r="G53" s="49">
        <v>1E-3</v>
      </c>
      <c r="H53" s="21" t="str">
        <f t="shared" si="1"/>
        <v>OK</v>
      </c>
    </row>
    <row r="54" spans="1:8">
      <c r="A54" s="21" t="s">
        <v>150</v>
      </c>
      <c r="B54" s="21">
        <v>2023</v>
      </c>
      <c r="C54" s="21" t="s">
        <v>146</v>
      </c>
      <c r="D54" s="48">
        <f>'Source Data'!F18</f>
        <v>48.567999999999998</v>
      </c>
      <c r="E54" s="48">
        <f>'Income Statement'!F35</f>
        <v>48.568000000000069</v>
      </c>
      <c r="F54" s="49">
        <f t="shared" si="0"/>
        <v>0</v>
      </c>
      <c r="G54" s="49">
        <v>1E-3</v>
      </c>
      <c r="H54" s="21" t="str">
        <f t="shared" si="1"/>
        <v>OK</v>
      </c>
    </row>
    <row r="55" spans="1:8">
      <c r="A55" s="21" t="s">
        <v>151</v>
      </c>
      <c r="B55" s="21">
        <v>2024</v>
      </c>
      <c r="C55" s="21" t="s">
        <v>146</v>
      </c>
      <c r="D55" s="48">
        <f>'Source Data'!G18</f>
        <v>183.74600000000001</v>
      </c>
      <c r="E55" s="48">
        <f>'Income Statement'!G35</f>
        <v>183.74600000000009</v>
      </c>
      <c r="F55" s="49">
        <f t="shared" si="0"/>
        <v>0</v>
      </c>
      <c r="G55" s="49">
        <v>1E-3</v>
      </c>
      <c r="H55" s="21" t="str">
        <f t="shared" si="1"/>
        <v>OK</v>
      </c>
    </row>
    <row r="56" spans="1:8">
      <c r="A56" s="35" t="s">
        <v>152</v>
      </c>
      <c r="B56" s="35">
        <v>2025</v>
      </c>
      <c r="C56" s="35" t="s">
        <v>146</v>
      </c>
      <c r="D56" s="50">
        <f>'Source Data'!H18</f>
        <v>107.741</v>
      </c>
      <c r="E56" s="50">
        <f>'Income Statement'!H35</f>
        <v>107.74100000000041</v>
      </c>
      <c r="F56" s="51">
        <f t="shared" si="0"/>
        <v>0</v>
      </c>
      <c r="G56" s="51">
        <v>1E-3</v>
      </c>
      <c r="H56" s="35" t="str">
        <f t="shared" si="1"/>
        <v>OK</v>
      </c>
    </row>
  </sheetData>
  <mergeCells count="3">
    <mergeCell ref="A1:J1"/>
    <mergeCell ref="A8:H8"/>
    <mergeCell ref="A13:H13"/>
  </mergeCells>
  <conditionalFormatting sqref="H15:H56">
    <cfRule type="containsText" dxfId="3" priority="1" operator="containsText" text="OK"/>
    <cfRule type="containsText" dxfId="2" priority="2" operator="containsText" text="REVIEW"/>
  </conditionalFormatting>
  <conditionalFormatting sqref="J4">
    <cfRule type="containsText" dxfId="1" priority="3" operator="containsText" text="OK"/>
    <cfRule type="containsText" dxfId="0" priority="4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Income Statement</vt:lpstr>
      <vt:lpstr>Source Data</vt:lpstr>
      <vt:lpstr>Sources &amp;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Taras Vynnychuk</cp:lastModifiedBy>
  <dcterms:modified xsi:type="dcterms:W3CDTF">2026-07-31T15:10:24Z</dcterms:modified>
</cp:coreProperties>
</file>