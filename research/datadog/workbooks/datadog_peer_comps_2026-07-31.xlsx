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21e3741384c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2b0a8bdb6c45a7"/>
    <x:sheet xmlns:r="http://schemas.openxmlformats.org/officeDocument/2006/relationships" name="Comps" sheetId="2" r:id="Rb0af1f0c98c7451b"/>
    <x:sheet xmlns:r="http://schemas.openxmlformats.org/officeDocument/2006/relationships" name="Raw Data" sheetId="3" r:id="Rc10f73288e3645e8"/>
    <x:sheet xmlns:r="http://schemas.openxmlformats.org/officeDocument/2006/relationships" name="Methodology" sheetId="4" r:id="Rccb00089a6424171"/>
    <x:sheet xmlns:r="http://schemas.openxmlformats.org/officeDocument/2006/relationships" name="Checks" sheetId="5" r:id="R0edd61a782cc4e19"/>
    <x:sheet xmlns:r="http://schemas.openxmlformats.org/officeDocument/2006/relationships" name="Sources &amp; Audit" sheetId="6" r:id="R0ca654b23eb241d7"/>
  </x:sheets>
</x:workbook>
</file>

<file path=xl/comments1.xml><?xml version="1.0" encoding="utf-8"?>
<x:comments xmlns:x="http://schemas.openxmlformats.org/spreadsheetml/2006/main">
  <x:authors>
    <x:author>tc={56B621D7-9735-A2BF-3DB7-BA2A711B50E4}</x:author>
    <x:author>tc={E862FE64-D4A1-DD77-E07D-B45F202ED4E4}</x:author>
    <x:author>tc={76B37926-4222-5BF7-FF05-C1A3881A49C1}</x:author>
    <x:author>tc={CC71FBD0-FB6E-EB56-95B1-0B1B07318A91}</x:author>
  </x:authors>
  <x:commentList>
    <x:comment ref="E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Market data: 2026-07-31 close. See Sources &amp; Audit for row-level URLs.</x:t>
        </x:r>
      </x:text>
    </x:comment>
    <x:comment ref="I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Historical income-statement inputs are quarterly Fiscal.ai data displayed by StockAnalysis; LTM is the sum of the latest four quarters.</x:t>
        </x:r>
      </x:text>
    </x:comment>
    <x:comment ref="M5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Standardized FCF = CFO less PP&amp;E capex less identified capitalized software/intangible purchases. This is used to reduce cross-company definition differences.</x:t>
        </x:r>
      </x:text>
    </x:comment>
    <x:comment ref="S5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Forward estimates are third-party S&amp;P Global Market Intelligence consensus displayed by StockAnalysis. They are screening inputs, not primary company guidance.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yyyy-mm-dd"/>
    <x:numFmt numFmtId="201" formatCode="$0.00;[Red]($0.00);-"/>
    <x:numFmt numFmtId="202" formatCode="$#,##0;[Red]($#,##0);-"/>
    <x:numFmt numFmtId="203" formatCode="#,##0;[Red](#,##0);-"/>
    <x:numFmt numFmtId="204" formatCode="0.0%;[Red](0.0%);-"/>
    <x:numFmt numFmtId="205" formatCode="0"/>
    <x:numFmt numFmtId="206" formatCode="0.0x;[Red](0.0x);-"/>
    <x:numFmt numFmtId="207" formatCode="$0.0;[Red]($0.0);-"/>
    <x:numFmt numFmtId="208" formatCode="0%;[Red](0%);-"/>
    <x:numFmt numFmtId="209" formatCode="0.0%"/>
    <x:numFmt numFmtId="210" formatCode="0.0x"/>
    <x:numFmt numFmtId="211" formatCode="0%"/>
  </x:numFmts>
  <x:fonts count="30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472"/>
      <x:name val="Carlito"/>
    </x:font>
    <x:font>
      <x:b/>
      <x:sz val="11"/>
      <x:color rgb="FF0B1F3A"/>
      <x:name val="Carlito"/>
    </x:font>
    <x:font>
      <x:b/>
      <x:sz val="11"/>
      <x:color rgb="FFB76E00"/>
      <x:name val="Carlito"/>
    </x:font>
    <x:font>
      <x:b/>
      <x:sz val="11"/>
      <x:color rgb="FF172033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i/>
      <x:sz val="11"/>
      <x:color rgb="FFB76E00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  <x:font>
      <x:b/>
      <x:sz val="11"/>
      <x:color rgb="FF5B6472"/>
      <x:name val="Carlito"/>
    </x:font>
    <x:font>
      <x:b/>
      <x:sz val="13"/>
      <x:color rgb="FF008000"/>
      <x:name val="Carlito"/>
    </x:font>
    <x:font>
      <x:sz val="11"/>
      <x:color rgb="FF0B7A48"/>
      <x:name val="Carlito"/>
    </x:font>
    <x:font>
      <x:sz val="11"/>
      <x:color rgb="FFB42318"/>
      <x:name val="Carlito"/>
    </x:font>
    <x:font>
      <x:b/>
      <x:sz val="18"/>
      <x:color rgb="FFFFFFFF"/>
      <x:name val="Aptos"/>
    </x:font>
    <x:font>
      <x:i/>
      <x:sz val="10"/>
      <x:color rgb="FF5B6472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5B6472"/>
      <x:name val="Aptos"/>
    </x:font>
    <x:font>
      <x:b/>
      <x:sz val="13"/>
      <x:color rgb="FF008000"/>
      <x:name val="Aptos"/>
    </x:font>
    <x:font>
      <x:b/>
      <x:sz val="11"/>
      <x:color rgb="FF0B1F3A"/>
      <x:name val="Aptos"/>
    </x:font>
    <x:font>
      <x:sz val="11"/>
      <x:color rgb="FF0B7A48"/>
      <x:name val="Aptos"/>
    </x:font>
    <x:font>
      <x:sz val="11"/>
      <x:color rgb="FFB42318"/>
      <x:name val="Aptos"/>
    </x:font>
    <x:font>
      <x:b/>
      <x:sz val="11"/>
      <x:color rgb="FF172033"/>
      <x:name val="Aptos"/>
    </x:font>
    <x:font>
      <x:sz val="11"/>
      <x:color rgb="FF0000FF"/>
      <x:name val="Aptos"/>
    </x:font>
    <x:font>
      <x:i/>
      <x:sz val="11"/>
      <x:color rgb="FFB76E00"/>
      <x:name val="Aptos"/>
    </x:font>
    <x:font>
      <x:sz val="11"/>
      <x:color rgb="FF000000"/>
      <x:name val="Aptos"/>
    </x:font>
    <x:font>
      <x:sz val="11"/>
      <x:color rgb="FF008000"/>
      <x:name val="Aptos"/>
    </x:font>
    <x:font>
      <x:b/>
      <x:sz val="11"/>
      <x:color rgb="FFB76E0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F4F6F8"/>
      </x:patternFill>
    </x:fill>
    <x:fill>
      <x:patternFill patternType="solid">
        <x:fgColor rgb="FFE8EEF7"/>
      </x:patternFill>
    </x:fill>
    <x:fill>
      <x:patternFill patternType="solid">
        <x:fgColor rgb="FFFFF4D6"/>
      </x:patternFill>
    </x:fill>
    <x:fill>
      <x:patternFill patternType="solid">
        <x:fgColor rgb="FFDCE7F7"/>
      </x:patternFill>
    </x:fill>
    <x:fill>
      <x:patternFill patternType="solid">
        <x:fgColor rgb="FFEAF2FF"/>
      </x:patternFill>
    </x:fill>
    <x:fill>
      <x:patternFill patternType="solid">
        <x:fgColor rgb="FFE7F6EE"/>
      </x:patternFill>
    </x:fill>
    <x:fill>
      <x:patternFill patternType="solid">
        <x:fgColor rgb="FFFDECEC"/>
      </x:patternFill>
    </x:fill>
  </x:fills>
  <x:borders count="19">
    <x:border/>
    <x:border>
      <x:bottom style="medium">
        <x:color rgb="FF0B1F3A"/>
      </x:bottom>
    </x:border>
    <x:border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top style="thin">
        <x:color rgb="FFD8DEE8"/>
      </x:top>
    </x:border>
    <x:border>
      <x:top style="thin">
        <x:color rgb="FF0B1F3A"/>
      </x:top>
    </x:border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medium">
        <x:color rgb="FF1D4ED8"/>
      </x:left>
      <x:top style="medium">
        <x:color rgb="FF1D4ED8"/>
      </x:top>
    </x:border>
    <x:border>
      <x:top style="medium">
        <x:color rgb="FF1D4ED8"/>
      </x:top>
    </x:border>
    <x:border>
      <x:right style="medium">
        <x:color rgb="FF1D4ED8"/>
      </x:right>
      <x:top style="medium">
        <x:color rgb="FF1D4ED8"/>
      </x:top>
    </x:border>
    <x:border>
      <x:left style="medium">
        <x:color rgb="FF1D4ED8"/>
      </x:left>
    </x:border>
    <x:border>
      <x:right style="medium">
        <x:color rgb="FF1D4ED8"/>
      </x:right>
    </x:border>
    <x:border>
      <x:left style="medium">
        <x:color rgb="FF1D4ED8"/>
      </x:left>
      <x:bottom style="medium">
        <x:color rgb="FF1D4ED8"/>
      </x:bottom>
    </x:border>
    <x:border>
      <x:bottom style="medium">
        <x:color rgb="FF1D4ED8"/>
      </x:bottom>
    </x:border>
    <x:border>
      <x:right style="medium">
        <x:color rgb="FF1D4ED8"/>
      </x:right>
      <x:bottom style="medium">
        <x:color rgb="FF1D4ED8"/>
      </x:bottom>
    </x:border>
    <x:border>
      <x:left style="medium">
        <x:color rgb="FF0B1F3A"/>
      </x:left>
      <x:top style="medium">
        <x:color rgb="FF0B1F3A"/>
      </x:top>
      <x:bottom style="medium">
        <x:color rgb="FF0B1F3A"/>
      </x:bottom>
    </x:border>
    <x:border>
      <x:top style="medium">
        <x:color rgb="FF0B1F3A"/>
      </x:top>
      <x:bottom style="medium">
        <x:color rgb="FF0B1F3A"/>
      </x:bottom>
    </x:border>
    <x:border>
      <x:right style="medium">
        <x:color rgb="FF0B1F3A"/>
      </x:right>
      <x:top style="medium">
        <x:color rgb="FF0B1F3A"/>
      </x:top>
      <x:bottom style="medium">
        <x:color rgb="FF0B1F3A"/>
      </x:bottom>
    </x:border>
  </x:borders>
  <x:cellStyleXfs count="1">
    <x:xf numFmtId="0" fontId="0" fillId="0" borderId="0"/>
  </x:cellStyleXfs>
  <x:cellXfs count="3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7" fillId="0" borderId="2" xfId="0" applyNumberFormat="1" applyFont="1" applyFill="1" applyBorder="1"/>
    <x:xf numFmtId="0" fontId="7" fillId="0" borderId="3" xfId="0" applyNumberFormat="1" applyFont="1" applyFill="1" applyBorder="1"/>
    <x:xf numFmtId="0" fontId="7" fillId="0" borderId="4" xfId="0" applyNumberFormat="1" applyFont="1" applyFill="1" applyBorder="1"/>
    <x:xf numFmtId="200" fontId="6" fillId="0" borderId="2" xfId="0" applyNumberFormat="1" applyFont="1" applyFill="1" applyBorder="1"/>
    <x:xf numFmtId="200" fontId="6" fillId="0" borderId="3" xfId="0" applyNumberFormat="1" applyFont="1" applyFill="1" applyBorder="1"/>
    <x:xf numFmtId="200" fontId="6" fillId="0" borderId="4" xfId="0" applyNumberFormat="1" applyFont="1" applyFill="1" applyBorder="1"/>
    <x:xf numFmtId="201" fontId="6" fillId="0" borderId="2" xfId="0" applyNumberFormat="1" applyFont="1" applyFill="1" applyBorder="1"/>
    <x:xf numFmtId="201" fontId="6" fillId="0" borderId="3" xfId="0" applyNumberFormat="1" applyFont="1" applyFill="1" applyBorder="1"/>
    <x:xf numFmtId="201" fontId="6" fillId="0" borderId="4" xfId="0" applyNumberFormat="1" applyFont="1" applyFill="1" applyBorder="1"/>
    <x:xf numFmtId="202" fontId="6" fillId="0" borderId="2" xfId="0" applyNumberFormat="1" applyFont="1" applyFill="1" applyBorder="1"/>
    <x:xf numFmtId="202" fontId="6" fillId="0" borderId="3" xfId="0" applyNumberFormat="1" applyFont="1" applyFill="1" applyBorder="1"/>
    <x:xf numFmtId="202" fontId="6" fillId="0" borderId="4" xfId="0" applyNumberFormat="1" applyFont="1" applyFill="1" applyBorder="1"/>
    <x:xf numFmtId="203" fontId="6" fillId="0" borderId="2" xfId="0" applyNumberFormat="1" applyFont="1" applyFill="1" applyBorder="1"/>
    <x:xf numFmtId="203" fontId="6" fillId="0" borderId="3" xfId="0" applyNumberFormat="1" applyFont="1" applyFill="1" applyBorder="1"/>
    <x:xf numFmtId="203" fontId="6" fillId="0" borderId="4" xfId="0" applyNumberFormat="1" applyFont="1" applyFill="1" applyBorder="1"/>
    <x:xf numFmtId="204" fontId="7" fillId="0" borderId="2" xfId="0" applyNumberFormat="1" applyFont="1" applyFill="1" applyBorder="1"/>
    <x:xf numFmtId="204" fontId="7" fillId="0" borderId="3" xfId="0" applyNumberFormat="1" applyFont="1" applyFill="1" applyBorder="1"/>
    <x:xf numFmtId="204" fontId="7" fillId="0" borderId="4" xfId="0" applyNumberFormat="1" applyFont="1" applyFill="1" applyBorder="1"/>
    <x:xf numFmtId="205" fontId="7" fillId="0" borderId="2" xfId="0" applyNumberFormat="1" applyFont="1" applyFill="1" applyBorder="1"/>
    <x:xf numFmtId="205" fontId="7" fillId="0" borderId="3" xfId="0" applyNumberFormat="1" applyFont="1" applyFill="1" applyBorder="1"/>
    <x:xf numFmtId="205" fontId="7" fillId="0" borderId="4" xfId="0" applyNumberFormat="1" applyFont="1" applyFill="1" applyBorder="1"/>
    <x:xf numFmtId="202" fontId="7" fillId="0" borderId="2" xfId="0" applyNumberFormat="1" applyFont="1" applyFill="1" applyBorder="1"/>
    <x:xf numFmtId="202" fontId="7" fillId="0" borderId="3" xfId="0" applyNumberFormat="1" applyFont="1" applyFill="1" applyBorder="1"/>
    <x:xf numFmtId="202" fontId="7" fillId="0" borderId="4" xfId="0" applyNumberFormat="1" applyFont="1" applyFill="1" applyBorder="1"/>
    <x:xf numFmtId="200" fontId="7" fillId="0" borderId="2" xfId="0" applyNumberFormat="1" applyFont="1" applyFill="1" applyBorder="1"/>
    <x:xf numFmtId="200" fontId="7" fillId="0" borderId="3" xfId="0" applyNumberFormat="1" applyFont="1" applyFill="1" applyBorder="1"/>
    <x:xf numFmtId="200" fontId="7" fillId="0" borderId="4" xfId="0" applyNumberFormat="1" applyFont="1" applyFill="1" applyBorder="1"/>
    <x:xf numFmtId="0" fontId="6" fillId="7" borderId="2" xfId="0" applyNumberFormat="1" applyFont="1" applyFill="1" applyBorder="1"/>
    <x:xf numFmtId="200" fontId="6" fillId="7" borderId="2" xfId="0" applyNumberFormat="1" applyFont="1" applyFill="1" applyBorder="1"/>
    <x:xf numFmtId="201" fontId="6" fillId="7" borderId="2" xfId="0" applyNumberFormat="1" applyFont="1" applyFill="1" applyBorder="1"/>
    <x:xf numFmtId="202" fontId="6" fillId="7" borderId="2" xfId="0" applyNumberFormat="1" applyFont="1" applyFill="1" applyBorder="1"/>
    <x:xf numFmtId="203" fontId="6" fillId="7" borderId="2" xfId="0" applyNumberFormat="1" applyFont="1" applyFill="1" applyBorder="1"/>
    <x:xf numFmtId="204" fontId="7" fillId="7" borderId="2" xfId="0" applyNumberFormat="1" applyFont="1" applyFill="1" applyBorder="1"/>
    <x:xf numFmtId="205" fontId="7" fillId="7" borderId="2" xfId="0" applyNumberFormat="1" applyFont="1" applyFill="1" applyBorder="1"/>
    <x:xf numFmtId="202" fontId="7" fillId="7" borderId="2" xfId="0" applyNumberFormat="1" applyFont="1" applyFill="1" applyBorder="1"/>
    <x:xf numFmtId="200" fontId="7" fillId="7" borderId="2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6" fillId="0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3" xfId="0" applyNumberFormat="1" applyFont="1" applyFill="1" applyBorder="1"/>
    <x:xf numFmtId="0" fontId="9" fillId="0" borderId="4" xfId="0" applyNumberFormat="1" applyFont="1" applyFill="1" applyBorder="1"/>
    <x:xf numFmtId="0" fontId="9" fillId="7" borderId="2" xfId="0" applyNumberFormat="1" applyFont="1" applyFill="1" applyBorder="1"/>
    <x:xf numFmtId="0" fontId="3" fillId="7" borderId="2" xfId="0" applyNumberFormat="1" applyFont="1" applyFill="1" applyBorder="1"/>
    <x:xf numFmtId="204" fontId="3" fillId="7" borderId="2" xfId="0" applyNumberFormat="1" applyFont="1" applyFill="1" applyBorder="1"/>
    <x:xf numFmtId="204" fontId="9" fillId="0" borderId="3" xfId="0" applyNumberFormat="1" applyFont="1" applyFill="1" applyBorder="1"/>
    <x:xf numFmtId="204" fontId="6" fillId="0" borderId="3" xfId="0" applyNumberFormat="1" applyFont="1" applyFill="1" applyBorder="1"/>
    <x:xf numFmtId="204" fontId="9" fillId="0" borderId="4" xfId="0" applyNumberFormat="1" applyFont="1" applyFill="1" applyBorder="1"/>
    <x:xf numFmtId="204" fontId="6" fillId="0" borderId="4" xfId="0" applyNumberFormat="1" applyFont="1" applyFill="1" applyBorder="1"/>
    <x:xf numFmtId="206" fontId="3" fillId="7" borderId="2" xfId="0" applyNumberFormat="1" applyFont="1" applyFill="1" applyBorder="1"/>
    <x:xf numFmtId="206" fontId="9" fillId="0" borderId="3" xfId="0" applyNumberFormat="1" applyFont="1" applyFill="1" applyBorder="1"/>
    <x:xf numFmtId="206" fontId="9" fillId="0" borderId="4" xfId="0" applyNumberFormat="1" applyFont="1" applyFill="1" applyBorder="1"/>
    <x:xf numFmtId="202" fontId="3" fillId="7" borderId="2" xfId="0" applyNumberFormat="1" applyFont="1" applyFill="1" applyBorder="1"/>
    <x:xf numFmtId="202" fontId="9" fillId="0" borderId="3" xfId="0" applyNumberFormat="1" applyFont="1" applyFill="1" applyBorder="1"/>
    <x:xf numFmtId="202" fontId="9" fillId="0" borderId="4" xfId="0" applyNumberFormat="1" applyFont="1" applyFill="1" applyBorder="1"/>
    <x:xf numFmtId="207" fontId="3" fillId="7" borderId="2" xfId="0" applyNumberFormat="1" applyFont="1" applyFill="1" applyBorder="1"/>
    <x:xf numFmtId="207" fontId="9" fillId="0" borderId="3" xfId="0" applyNumberFormat="1" applyFont="1" applyFill="1" applyBorder="1"/>
    <x:xf numFmtId="207" fontId="9" fillId="0" borderId="4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204" fontId="5" fillId="3" borderId="5" xfId="0" applyNumberFormat="1" applyFont="1" applyFill="1" applyBorder="1"/>
    <x:xf numFmtId="204" fontId="5" fillId="3" borderId="0" xfId="0" applyNumberFormat="1" applyFont="1" applyFill="1" applyBorder="1"/>
    <x:xf numFmtId="206" fontId="5" fillId="3" borderId="5" xfId="0" applyNumberFormat="1" applyFont="1" applyFill="1" applyBorder="1"/>
    <x:xf numFmtId="206" fontId="5" fillId="3" borderId="0" xfId="0" applyNumberFormat="1" applyFont="1" applyFill="1" applyBorder="1"/>
    <x:xf numFmtId="208" fontId="4" fillId="5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0" borderId="0" xfId="0" applyNumberFormat="1" applyFont="1" applyFill="1" applyBorder="1"/>
    <x:xf numFmtId="209" fontId="12" fillId="0" borderId="0" xfId="0" applyNumberFormat="1" applyFont="1" applyFill="1" applyBorder="1"/>
    <x:xf numFmtId="210" fontId="12" fillId="0" borderId="0" xfId="0" applyNumberFormat="1" applyFont="1" applyFill="1" applyBorder="1"/>
    <x:xf numFmtId="0" fontId="11" fillId="0" borderId="6" xfId="0" applyNumberFormat="1" applyFont="1" applyFill="1" applyBorder="1"/>
    <x:xf numFmtId="0" fontId="11" fillId="0" borderId="3" xfId="0" applyNumberFormat="1" applyFont="1" applyFill="1" applyBorder="1"/>
    <x:xf numFmtId="209" fontId="12" fillId="0" borderId="3" xfId="0" applyNumberFormat="1" applyFont="1" applyFill="1" applyBorder="1"/>
    <x:xf numFmtId="0" fontId="12" fillId="0" borderId="7" xfId="0" applyNumberFormat="1" applyFont="1" applyFill="1" applyBorder="1"/>
    <x:xf numFmtId="210" fontId="12" fillId="0" borderId="3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8" xfId="0" applyNumberFormat="1" applyFont="1" applyFill="1" applyBorder="1"/>
    <x:xf numFmtId="0" fontId="3" fillId="7" borderId="9" xfId="0" applyNumberFormat="1" applyFont="1" applyFill="1" applyBorder="1"/>
    <x:xf numFmtId="0" fontId="3" fillId="7" borderId="10" xfId="0" applyNumberFormat="1" applyFont="1" applyFill="1" applyBorder="1"/>
    <x:xf numFmtId="0" fontId="3" fillId="7" borderId="11" xfId="0" applyNumberFormat="1" applyFont="1" applyFill="1" applyBorder="1"/>
    <x:xf numFmtId="0" fontId="3" fillId="7" borderId="12" xfId="0" applyNumberFormat="1" applyFont="1" applyFill="1" applyBorder="1"/>
    <x:xf numFmtId="0" fontId="3" fillId="7" borderId="13" xfId="0" applyNumberFormat="1" applyFont="1" applyFill="1" applyBorder="1"/>
    <x:xf numFmtId="0" fontId="3" fillId="7" borderId="14" xfId="0" applyNumberFormat="1" applyFont="1" applyFill="1" applyBorder="1"/>
    <x:xf numFmtId="0" fontId="3" fillId="7" borderId="15" xfId="0" applyNumberFormat="1" applyFont="1" applyFill="1" applyBorder="1"/>
    <x:xf numFmtId="0" fontId="3" fillId="7" borderId="8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wrapText="1"/>
    </x:xf>
    <x:xf numFmtId="0" fontId="3" fillId="7" borderId="10" xfId="0" applyNumberFormat="1" applyFont="1" applyFill="1" applyBorder="1" applyAlignment="1">
      <x:alignment wrapText="1"/>
    </x:xf>
    <x:xf numFmtId="0" fontId="3" fillId="7" borderId="11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12" xfId="0" applyNumberFormat="1" applyFont="1" applyFill="1" applyBorder="1" applyAlignment="1">
      <x:alignment wrapText="1"/>
    </x:xf>
    <x:xf numFmtId="0" fontId="3" fillId="7" borderId="13" xfId="0" applyNumberFormat="1" applyFont="1" applyFill="1" applyBorder="1" applyAlignment="1">
      <x:alignment wrapText="1"/>
    </x:xf>
    <x:xf numFmtId="0" fontId="3" fillId="7" borderId="14" xfId="0" applyNumberFormat="1" applyFont="1" applyFill="1" applyBorder="1" applyAlignment="1">
      <x:alignment wrapText="1"/>
    </x:xf>
    <x:xf numFmtId="0" fontId="3" fillId="7" borderId="15" xfId="0" applyNumberFormat="1" applyFont="1" applyFill="1" applyBorder="1" applyAlignment="1">
      <x:alignment wrapText="1"/>
    </x:xf>
    <x:xf numFmtId="0" fontId="3" fillId="7" borderId="8" xfId="0" applyNumberFormat="1" applyFont="1" applyFill="1" applyBorder="1" applyAlignment="1">
      <x:alignment vertical="center" wrapText="1"/>
    </x:xf>
    <x:xf numFmtId="0" fontId="3" fillId="7" borderId="9" xfId="0" applyNumberFormat="1" applyFont="1" applyFill="1" applyBorder="1" applyAlignment="1">
      <x:alignment vertical="center" wrapText="1"/>
    </x:xf>
    <x:xf numFmtId="0" fontId="3" fillId="7" borderId="10" xfId="0" applyNumberFormat="1" applyFont="1" applyFill="1" applyBorder="1" applyAlignment="1">
      <x:alignment vertical="center" wrapText="1"/>
    </x:xf>
    <x:xf numFmtId="0" fontId="3" fillId="7" borderId="11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3" fillId="7" borderId="12" xfId="0" applyNumberFormat="1" applyFont="1" applyFill="1" applyBorder="1" applyAlignment="1">
      <x:alignment vertical="center" wrapText="1"/>
    </x:xf>
    <x:xf numFmtId="0" fontId="3" fillId="7" borderId="13" xfId="0" applyNumberFormat="1" applyFont="1" applyFill="1" applyBorder="1" applyAlignment="1">
      <x:alignment vertical="center" wrapText="1"/>
    </x:xf>
    <x:xf numFmtId="0" fontId="3" fillId="7" borderId="14" xfId="0" applyNumberFormat="1" applyFont="1" applyFill="1" applyBorder="1" applyAlignment="1">
      <x:alignment vertical="center" wrapText="1"/>
    </x:xf>
    <x:xf numFmtId="0" fontId="3" fillId="7" borderId="1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4" fillId="9" borderId="0" xfId="0" applyNumberFormat="1" applyFont="1" applyFill="1" applyBorder="1"/>
    <x:xf numFmtId="0" fontId="14" fillId="9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210" fontId="7" fillId="0" borderId="0" xfId="0" applyNumberFormat="1" applyFont="1" applyFill="1" applyBorder="1"/>
    <x:xf numFmtId="210" fontId="0" fillId="7" borderId="0" xfId="0" applyNumberFormat="1" applyFont="1" applyFill="1" applyBorder="1"/>
    <x:xf numFmtId="201" fontId="0" fillId="0" borderId="0" xfId="0" applyNumberFormat="1" applyFont="1" applyFill="1" applyBorder="1"/>
    <x:xf numFmtId="208" fontId="0" fillId="0" borderId="0" xfId="0" applyNumberFormat="1" applyFont="1" applyFill="1" applyBorder="1"/>
    <x:xf numFmtId="210" fontId="7" fillId="0" borderId="2" xfId="0" applyNumberFormat="1" applyFont="1" applyFill="1" applyBorder="1"/>
    <x:xf numFmtId="201" fontId="0" fillId="0" borderId="2" xfId="0" applyNumberFormat="1" applyFont="1" applyFill="1" applyBorder="1"/>
    <x:xf numFmtId="208" fontId="0" fillId="0" borderId="2" xfId="0" applyNumberFormat="1" applyFont="1" applyFill="1" applyBorder="1"/>
    <x:xf numFmtId="210" fontId="7" fillId="0" borderId="3" xfId="0" applyNumberFormat="1" applyFont="1" applyFill="1" applyBorder="1"/>
    <x:xf numFmtId="201" fontId="0" fillId="0" borderId="3" xfId="0" applyNumberFormat="1" applyFont="1" applyFill="1" applyBorder="1"/>
    <x:xf numFmtId="208" fontId="0" fillId="0" borderId="3" xfId="0" applyNumberFormat="1" applyFont="1" applyFill="1" applyBorder="1"/>
    <x:xf numFmtId="210" fontId="0" fillId="7" borderId="3" xfId="0" applyNumberFormat="1" applyFont="1" applyFill="1" applyBorder="1"/>
    <x:xf numFmtId="210" fontId="7" fillId="0" borderId="4" xfId="0" applyNumberFormat="1" applyFont="1" applyFill="1" applyBorder="1"/>
    <x:xf numFmtId="201" fontId="0" fillId="0" borderId="4" xfId="0" applyNumberFormat="1" applyFont="1" applyFill="1" applyBorder="1"/>
    <x:xf numFmtId="208" fontId="0" fillId="0" borderId="4" xfId="0" applyNumberFormat="1" applyFont="1" applyFill="1" applyBorder="1"/>
    <x:xf numFmtId="209" fontId="0" fillId="0" borderId="0" xfId="0" applyNumberFormat="1" applyFont="1" applyFill="1" applyBorder="1"/>
    <x:xf numFmtId="210" fontId="0" fillId="0" borderId="0" xfId="0" applyNumberFormat="1" applyFont="1" applyFill="1" applyBorder="1"/>
    <x:xf numFmtId="211" fontId="0" fillId="0" borderId="0" xfId="0" applyNumberFormat="1" applyFont="1" applyFill="1" applyBorder="1"/>
    <x:xf numFmtId="209" fontId="0" fillId="0" borderId="2" xfId="0" applyNumberFormat="1" applyFont="1" applyFill="1" applyBorder="1"/>
    <x:xf numFmtId="209" fontId="0" fillId="0" borderId="3" xfId="0" applyNumberFormat="1" applyFont="1" applyFill="1" applyBorder="1"/>
    <x:xf numFmtId="210" fontId="0" fillId="0" borderId="3" xfId="0" applyNumberFormat="1" applyFont="1" applyFill="1" applyBorder="1"/>
    <x:xf numFmtId="211" fontId="0" fillId="0" borderId="3" xfId="0" applyNumberFormat="1" applyFont="1" applyFill="1" applyBorder="1"/>
    <x:xf numFmtId="210" fontId="0" fillId="0" borderId="4" xfId="0" applyNumberFormat="1" applyFont="1" applyFill="1" applyBorder="1"/>
    <x:xf numFmtId="211" fontId="0" fillId="0" borderId="4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10" fillId="2" borderId="16" xfId="0" applyNumberFormat="1" applyFont="1" applyFill="1" applyBorder="1"/>
    <x:xf numFmtId="0" fontId="10" fillId="2" borderId="17" xfId="0" applyNumberFormat="1" applyFont="1" applyFill="1" applyBorder="1"/>
    <x:xf numFmtId="0" fontId="10" fillId="2" borderId="18" xfId="0" applyNumberFormat="1" applyFont="1" applyFill="1" applyBorder="1"/>
    <x:xf numFmtId="0" fontId="15" fillId="2" borderId="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8" fillId="2" borderId="0" xfId="0" applyNumberFormat="1" applyFont="1" applyFill="1" applyBorder="1" applyAlignment="1">
      <x:alignment vertical="center"/>
    </x:xf>
    <x:xf numFmtId="0" fontId="19" fillId="0" borderId="6" xfId="0" applyNumberFormat="1" applyFont="1" applyFill="1" applyBorder="1"/>
    <x:xf numFmtId="0" fontId="19" fillId="0" borderId="3" xfId="0" applyNumberFormat="1" applyFont="1" applyFill="1" applyBorder="1"/>
    <x:xf numFmtId="209" fontId="20" fillId="0" borderId="3" xfId="0" applyNumberFormat="1" applyFont="1" applyFill="1" applyBorder="1"/>
    <x:xf numFmtId="0" fontId="20" fillId="0" borderId="7" xfId="0" applyNumberFormat="1" applyFont="1" applyFill="1" applyBorder="1"/>
    <x:xf numFmtId="210" fontId="20" fillId="0" borderId="3" xfId="0" applyNumberFormat="1" applyFont="1" applyFill="1" applyBorder="1"/>
    <x:xf numFmtId="0" fontId="21" fillId="7" borderId="8" xfId="0" applyNumberFormat="1" applyFont="1" applyFill="1" applyBorder="1" applyAlignment="1">
      <x:alignment vertical="center" wrapText="1"/>
    </x:xf>
    <x:xf numFmtId="0" fontId="21" fillId="7" borderId="9" xfId="0" applyNumberFormat="1" applyFont="1" applyFill="1" applyBorder="1" applyAlignment="1">
      <x:alignment vertical="center" wrapText="1"/>
    </x:xf>
    <x:xf numFmtId="0" fontId="21" fillId="7" borderId="10" xfId="0" applyNumberFormat="1" applyFont="1" applyFill="1" applyBorder="1" applyAlignment="1">
      <x:alignment vertical="center" wrapText="1"/>
    </x:xf>
    <x:xf numFmtId="0" fontId="21" fillId="7" borderId="11" xfId="0" applyNumberFormat="1" applyFont="1" applyFill="1" applyBorder="1" applyAlignment="1">
      <x:alignment vertical="center" wrapText="1"/>
    </x:xf>
    <x:xf numFmtId="0" fontId="21" fillId="7" borderId="0" xfId="0" applyNumberFormat="1" applyFont="1" applyFill="1" applyBorder="1" applyAlignment="1">
      <x:alignment vertical="center" wrapText="1"/>
    </x:xf>
    <x:xf numFmtId="0" fontId="21" fillId="7" borderId="12" xfId="0" applyNumberFormat="1" applyFont="1" applyFill="1" applyBorder="1" applyAlignment="1">
      <x:alignment vertical="center" wrapText="1"/>
    </x:xf>
    <x:xf numFmtId="0" fontId="21" fillId="7" borderId="13" xfId="0" applyNumberFormat="1" applyFont="1" applyFill="1" applyBorder="1" applyAlignment="1">
      <x:alignment vertical="center" wrapText="1"/>
    </x:xf>
    <x:xf numFmtId="0" fontId="21" fillId="7" borderId="14" xfId="0" applyNumberFormat="1" applyFont="1" applyFill="1" applyBorder="1" applyAlignment="1">
      <x:alignment vertical="center" wrapText="1"/>
    </x:xf>
    <x:xf numFmtId="0" fontId="21" fillId="7" borderId="15" xfId="0" applyNumberFormat="1" applyFont="1" applyFill="1" applyBorder="1" applyAlignment="1">
      <x:alignment vertical="center" wrapText="1"/>
    </x:xf>
    <x:xf numFmtId="0" fontId="22" fillId="8" borderId="0" xfId="0" applyNumberFormat="1" applyFont="1" applyFill="1" applyBorder="1" applyAlignment="1">
      <x:alignment wrapText="1"/>
    </x:xf>
    <x:xf numFmtId="0" fontId="23" fillId="9" borderId="0" xfId="0" applyNumberFormat="1" applyFont="1" applyFill="1" applyBorder="1" applyAlignment="1">
      <x:alignment wrapText="1"/>
    </x:xf>
    <x:xf numFmtId="0" fontId="24" fillId="6" borderId="1" xfId="0" applyNumberFormat="1" applyFont="1" applyFill="1" applyBorder="1" applyAlignment="1">
      <x:alignment vertical="center" wrapText="1"/>
    </x:xf>
    <x:xf numFmtId="210" fontId="25" fillId="0" borderId="2" xfId="0" applyNumberFormat="1" applyFont="1" applyFill="1" applyBorder="1"/>
    <x:xf numFmtId="201" fontId="17" fillId="0" borderId="2" xfId="0" applyNumberFormat="1" applyFont="1" applyFill="1" applyBorder="1"/>
    <x:xf numFmtId="208" fontId="17" fillId="0" borderId="2" xfId="0" applyNumberFormat="1" applyFont="1" applyFill="1" applyBorder="1"/>
    <x:xf numFmtId="0" fontId="17" fillId="0" borderId="2" xfId="0" applyNumberFormat="1" applyFont="1" applyFill="1" applyBorder="1"/>
    <x:xf numFmtId="209" fontId="17" fillId="0" borderId="2" xfId="0" applyNumberFormat="1" applyFont="1" applyFill="1" applyBorder="1"/>
    <x:xf numFmtId="210" fontId="25" fillId="0" borderId="3" xfId="0" applyNumberFormat="1" applyFont="1" applyFill="1" applyBorder="1"/>
    <x:xf numFmtId="201" fontId="17" fillId="0" borderId="3" xfId="0" applyNumberFormat="1" applyFont="1" applyFill="1" applyBorder="1"/>
    <x:xf numFmtId="208" fontId="17" fillId="0" borderId="3" xfId="0" applyNumberFormat="1" applyFont="1" applyFill="1" applyBorder="1"/>
    <x:xf numFmtId="0" fontId="17" fillId="0" borderId="3" xfId="0" applyNumberFormat="1" applyFont="1" applyFill="1" applyBorder="1"/>
    <x:xf numFmtId="209" fontId="17" fillId="0" borderId="3" xfId="0" applyNumberFormat="1" applyFont="1" applyFill="1" applyBorder="1"/>
    <x:xf numFmtId="210" fontId="17" fillId="7" borderId="3" xfId="0" applyNumberFormat="1" applyFont="1" applyFill="1" applyBorder="1"/>
    <x:xf numFmtId="210" fontId="17" fillId="0" borderId="3" xfId="0" applyNumberFormat="1" applyFont="1" applyFill="1" applyBorder="1"/>
    <x:xf numFmtId="211" fontId="17" fillId="0" borderId="3" xfId="0" applyNumberFormat="1" applyFont="1" applyFill="1" applyBorder="1"/>
    <x:xf numFmtId="210" fontId="25" fillId="0" borderId="4" xfId="0" applyNumberFormat="1" applyFont="1" applyFill="1" applyBorder="1"/>
    <x:xf numFmtId="201" fontId="17" fillId="0" borderId="4" xfId="0" applyNumberFormat="1" applyFont="1" applyFill="1" applyBorder="1"/>
    <x:xf numFmtId="208" fontId="17" fillId="0" borderId="4" xfId="0" applyNumberFormat="1" applyFont="1" applyFill="1" applyBorder="1"/>
    <x:xf numFmtId="0" fontId="17" fillId="0" borderId="4" xfId="0" applyNumberFormat="1" applyFont="1" applyFill="1" applyBorder="1"/>
    <x:xf numFmtId="210" fontId="17" fillId="0" borderId="4" xfId="0" applyNumberFormat="1" applyFont="1" applyFill="1" applyBorder="1"/>
    <x:xf numFmtId="211" fontId="17" fillId="0" borderId="4" xfId="0" applyNumberFormat="1" applyFont="1" applyFill="1" applyBorder="1"/>
    <x:xf numFmtId="21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vertical="center"/>
    </x:xf>
    <x:xf numFmtId="0" fontId="19" fillId="0" borderId="6" xfId="0" applyNumberFormat="1" applyFont="1" applyFill="1" applyBorder="1" applyAlignment="1">
      <x:alignment vertical="center"/>
    </x:xf>
    <x:xf numFmtId="0" fontId="19" fillId="0" borderId="3" xfId="0" applyNumberFormat="1" applyFont="1" applyFill="1" applyBorder="1" applyAlignment="1">
      <x:alignment vertical="center"/>
    </x:xf>
    <x:xf numFmtId="209" fontId="20" fillId="0" borderId="3" xfId="0" applyNumberFormat="1" applyFont="1" applyFill="1" applyBorder="1" applyAlignment="1">
      <x:alignment vertical="center"/>
    </x:xf>
    <x:xf numFmtId="0" fontId="20" fillId="0" borderId="7" xfId="0" applyNumberFormat="1" applyFont="1" applyFill="1" applyBorder="1" applyAlignment="1">
      <x:alignment vertical="center"/>
    </x:xf>
    <x:xf numFmtId="210" fontId="20" fillId="0" borderId="3" xfId="0" applyNumberFormat="1" applyFont="1" applyFill="1" applyBorder="1" applyAlignment="1">
      <x:alignment vertical="center"/>
    </x:xf>
    <x:xf numFmtId="0" fontId="22" fillId="8" borderId="0" xfId="0" applyNumberFormat="1" applyFont="1" applyFill="1" applyBorder="1" applyAlignment="1">
      <x:alignment vertical="center" wrapText="1"/>
    </x:xf>
    <x:xf numFmtId="0" fontId="23" fillId="9" borderId="0" xfId="0" applyNumberFormat="1" applyFont="1" applyFill="1" applyBorder="1" applyAlignment="1">
      <x:alignment vertical="center" wrapText="1"/>
    </x:xf>
    <x:xf numFmtId="210" fontId="25" fillId="0" borderId="2" xfId="0" applyNumberFormat="1" applyFont="1" applyFill="1" applyBorder="1" applyAlignment="1">
      <x:alignment vertical="center"/>
    </x:xf>
    <x:xf numFmtId="201" fontId="17" fillId="0" borderId="2" xfId="0" applyNumberFormat="1" applyFont="1" applyFill="1" applyBorder="1" applyAlignment="1">
      <x:alignment vertical="center"/>
    </x:xf>
    <x:xf numFmtId="208" fontId="17" fillId="0" borderId="2" xfId="0" applyNumberFormat="1" applyFont="1" applyFill="1" applyBorder="1" applyAlignment="1">
      <x:alignment vertical="center"/>
    </x:xf>
    <x:xf numFmtId="0" fontId="17" fillId="0" borderId="2" xfId="0" applyNumberFormat="1" applyFont="1" applyFill="1" applyBorder="1" applyAlignment="1">
      <x:alignment vertical="center"/>
    </x:xf>
    <x:xf numFmtId="209" fontId="17" fillId="0" borderId="2" xfId="0" applyNumberFormat="1" applyFont="1" applyFill="1" applyBorder="1" applyAlignment="1">
      <x:alignment vertical="center"/>
    </x:xf>
    <x:xf numFmtId="210" fontId="25" fillId="0" borderId="3" xfId="0" applyNumberFormat="1" applyFont="1" applyFill="1" applyBorder="1" applyAlignment="1">
      <x:alignment vertical="center"/>
    </x:xf>
    <x:xf numFmtId="201" fontId="17" fillId="0" borderId="3" xfId="0" applyNumberFormat="1" applyFont="1" applyFill="1" applyBorder="1" applyAlignment="1">
      <x:alignment vertical="center"/>
    </x:xf>
    <x:xf numFmtId="208" fontId="17" fillId="0" borderId="3" xfId="0" applyNumberFormat="1" applyFont="1" applyFill="1" applyBorder="1" applyAlignment="1">
      <x:alignment vertical="center"/>
    </x:xf>
    <x:xf numFmtId="0" fontId="17" fillId="0" borderId="3" xfId="0" applyNumberFormat="1" applyFont="1" applyFill="1" applyBorder="1" applyAlignment="1">
      <x:alignment vertical="center"/>
    </x:xf>
    <x:xf numFmtId="209" fontId="17" fillId="0" borderId="3" xfId="0" applyNumberFormat="1" applyFont="1" applyFill="1" applyBorder="1" applyAlignment="1">
      <x:alignment vertical="center"/>
    </x:xf>
    <x:xf numFmtId="210" fontId="17" fillId="7" borderId="3" xfId="0" applyNumberFormat="1" applyFont="1" applyFill="1" applyBorder="1" applyAlignment="1">
      <x:alignment vertical="center"/>
    </x:xf>
    <x:xf numFmtId="210" fontId="17" fillId="0" borderId="3" xfId="0" applyNumberFormat="1" applyFont="1" applyFill="1" applyBorder="1" applyAlignment="1">
      <x:alignment vertical="center"/>
    </x:xf>
    <x:xf numFmtId="211" fontId="17" fillId="0" borderId="3" xfId="0" applyNumberFormat="1" applyFont="1" applyFill="1" applyBorder="1" applyAlignment="1">
      <x:alignment vertical="center"/>
    </x:xf>
    <x:xf numFmtId="210" fontId="25" fillId="0" borderId="4" xfId="0" applyNumberFormat="1" applyFont="1" applyFill="1" applyBorder="1" applyAlignment="1">
      <x:alignment vertical="center"/>
    </x:xf>
    <x:xf numFmtId="201" fontId="17" fillId="0" borderId="4" xfId="0" applyNumberFormat="1" applyFont="1" applyFill="1" applyBorder="1" applyAlignment="1">
      <x:alignment vertical="center"/>
    </x:xf>
    <x:xf numFmtId="208" fontId="17" fillId="0" borderId="4" xfId="0" applyNumberFormat="1" applyFont="1" applyFill="1" applyBorder="1" applyAlignment="1">
      <x:alignment vertical="center"/>
    </x:xf>
    <x:xf numFmtId="0" fontId="17" fillId="0" borderId="4" xfId="0" applyNumberFormat="1" applyFont="1" applyFill="1" applyBorder="1" applyAlignment="1">
      <x:alignment vertical="center"/>
    </x:xf>
    <x:xf numFmtId="210" fontId="17" fillId="0" borderId="4" xfId="0" applyNumberFormat="1" applyFont="1" applyFill="1" applyBorder="1" applyAlignment="1">
      <x:alignment vertical="center"/>
    </x:xf>
    <x:xf numFmtId="211" fontId="17" fillId="0" borderId="4" xfId="0" applyNumberFormat="1" applyFont="1" applyFill="1" applyBorder="1" applyAlignment="1">
      <x:alignment vertical="center"/>
    </x:xf>
    <x:xf numFmtId="210" fontId="17" fillId="0" borderId="0" xfId="0" applyNumberFormat="1" applyFont="1" applyFill="1" applyBorder="1" applyAlignment="1">
      <x:alignment vertical="center"/>
    </x:xf>
    <x:xf numFmtId="0" fontId="26" fillId="5" borderId="0" xfId="0" applyNumberFormat="1" applyFont="1" applyFill="1" applyBorder="1" applyAlignment="1">
      <x:alignment wrapText="1"/>
    </x:xf>
    <x:xf numFmtId="0" fontId="21" fillId="7" borderId="2" xfId="0" applyNumberFormat="1" applyFont="1" applyFill="1" applyBorder="1"/>
    <x:xf numFmtId="204" fontId="21" fillId="7" borderId="2" xfId="0" applyNumberFormat="1" applyFont="1" applyFill="1" applyBorder="1"/>
    <x:xf numFmtId="206" fontId="21" fillId="7" borderId="2" xfId="0" applyNumberFormat="1" applyFont="1" applyFill="1" applyBorder="1"/>
    <x:xf numFmtId="202" fontId="21" fillId="7" borderId="2" xfId="0" applyNumberFormat="1" applyFont="1" applyFill="1" applyBorder="1"/>
    <x:xf numFmtId="207" fontId="21" fillId="7" borderId="2" xfId="0" applyNumberFormat="1" applyFont="1" applyFill="1" applyBorder="1"/>
    <x:xf numFmtId="0" fontId="27" fillId="0" borderId="3" xfId="0" applyNumberFormat="1" applyFont="1" applyFill="1" applyBorder="1"/>
    <x:xf numFmtId="204" fontId="28" fillId="0" borderId="3" xfId="0" applyNumberFormat="1" applyFont="1" applyFill="1" applyBorder="1"/>
    <x:xf numFmtId="204" fontId="27" fillId="0" borderId="3" xfId="0" applyNumberFormat="1" applyFont="1" applyFill="1" applyBorder="1"/>
    <x:xf numFmtId="206" fontId="28" fillId="0" borderId="3" xfId="0" applyNumberFormat="1" applyFont="1" applyFill="1" applyBorder="1"/>
    <x:xf numFmtId="202" fontId="28" fillId="0" borderId="3" xfId="0" applyNumberFormat="1" applyFont="1" applyFill="1" applyBorder="1"/>
    <x:xf numFmtId="207" fontId="28" fillId="0" borderId="3" xfId="0" applyNumberFormat="1" applyFont="1" applyFill="1" applyBorder="1"/>
    <x:xf numFmtId="0" fontId="27" fillId="0" borderId="4" xfId="0" applyNumberFormat="1" applyFont="1" applyFill="1" applyBorder="1"/>
    <x:xf numFmtId="204" fontId="28" fillId="0" borderId="4" xfId="0" applyNumberFormat="1" applyFont="1" applyFill="1" applyBorder="1"/>
    <x:xf numFmtId="204" fontId="27" fillId="0" borderId="4" xfId="0" applyNumberFormat="1" applyFont="1" applyFill="1" applyBorder="1"/>
    <x:xf numFmtId="206" fontId="28" fillId="0" borderId="4" xfId="0" applyNumberFormat="1" applyFont="1" applyFill="1" applyBorder="1"/>
    <x:xf numFmtId="202" fontId="28" fillId="0" borderId="4" xfId="0" applyNumberFormat="1" applyFont="1" applyFill="1" applyBorder="1"/>
    <x:xf numFmtId="207" fontId="28" fillId="0" borderId="4" xfId="0" applyNumberFormat="1" applyFont="1" applyFill="1" applyBorder="1"/>
    <x:xf numFmtId="0" fontId="24" fillId="3" borderId="5" xfId="0" applyNumberFormat="1" applyFont="1" applyFill="1" applyBorder="1"/>
    <x:xf numFmtId="204" fontId="24" fillId="3" borderId="5" xfId="0" applyNumberFormat="1" applyFont="1" applyFill="1" applyBorder="1"/>
    <x:xf numFmtId="206" fontId="24" fillId="3" borderId="5" xfId="0" applyNumberFormat="1" applyFont="1" applyFill="1" applyBorder="1"/>
    <x:xf numFmtId="0" fontId="24" fillId="3" borderId="0" xfId="0" applyNumberFormat="1" applyFont="1" applyFill="1" applyBorder="1"/>
    <x:xf numFmtId="204" fontId="24" fillId="3" borderId="0" xfId="0" applyNumberFormat="1" applyFont="1" applyFill="1" applyBorder="1"/>
    <x:xf numFmtId="206" fontId="24" fillId="3" borderId="0" xfId="0" applyNumberFormat="1" applyFont="1" applyFill="1" applyBorder="1"/>
    <x:xf numFmtId="0" fontId="29" fillId="5" borderId="0" xfId="0" applyNumberFormat="1" applyFont="1" applyFill="1" applyBorder="1"/>
    <x:xf numFmtId="208" fontId="29" fillId="5" borderId="0" xfId="0" applyNumberFormat="1" applyFont="1" applyFill="1" applyBorder="1"/>
    <x:xf numFmtId="0" fontId="26" fillId="5" borderId="0" xfId="0" applyNumberFormat="1" applyFont="1" applyFill="1" applyBorder="1" applyAlignment="1">
      <x:alignment vertical="center" wrapText="1"/>
    </x:xf>
    <x:xf numFmtId="0" fontId="21" fillId="7" borderId="2" xfId="0" applyNumberFormat="1" applyFont="1" applyFill="1" applyBorder="1" applyAlignment="1">
      <x:alignment vertical="center"/>
    </x:xf>
    <x:xf numFmtId="204" fontId="21" fillId="7" borderId="2" xfId="0" applyNumberFormat="1" applyFont="1" applyFill="1" applyBorder="1" applyAlignment="1">
      <x:alignment vertical="center"/>
    </x:xf>
    <x:xf numFmtId="206" fontId="21" fillId="7" borderId="2" xfId="0" applyNumberFormat="1" applyFont="1" applyFill="1" applyBorder="1" applyAlignment="1">
      <x:alignment vertical="center"/>
    </x:xf>
    <x:xf numFmtId="202" fontId="21" fillId="7" borderId="2" xfId="0" applyNumberFormat="1" applyFont="1" applyFill="1" applyBorder="1" applyAlignment="1">
      <x:alignment vertical="center"/>
    </x:xf>
    <x:xf numFmtId="207" fontId="21" fillId="7" borderId="2" xfId="0" applyNumberFormat="1" applyFont="1" applyFill="1" applyBorder="1" applyAlignment="1">
      <x:alignment vertical="center"/>
    </x:xf>
    <x:xf numFmtId="0" fontId="27" fillId="0" borderId="3" xfId="0" applyNumberFormat="1" applyFont="1" applyFill="1" applyBorder="1" applyAlignment="1">
      <x:alignment vertical="center"/>
    </x:xf>
    <x:xf numFmtId="204" fontId="28" fillId="0" borderId="3" xfId="0" applyNumberFormat="1" applyFont="1" applyFill="1" applyBorder="1" applyAlignment="1">
      <x:alignment vertical="center"/>
    </x:xf>
    <x:xf numFmtId="204" fontId="27" fillId="0" borderId="3" xfId="0" applyNumberFormat="1" applyFont="1" applyFill="1" applyBorder="1" applyAlignment="1">
      <x:alignment vertical="center"/>
    </x:xf>
    <x:xf numFmtId="206" fontId="28" fillId="0" borderId="3" xfId="0" applyNumberFormat="1" applyFont="1" applyFill="1" applyBorder="1" applyAlignment="1">
      <x:alignment vertical="center"/>
    </x:xf>
    <x:xf numFmtId="202" fontId="28" fillId="0" borderId="3" xfId="0" applyNumberFormat="1" applyFont="1" applyFill="1" applyBorder="1" applyAlignment="1">
      <x:alignment vertical="center"/>
    </x:xf>
    <x:xf numFmtId="207" fontId="28" fillId="0" borderId="3" xfId="0" applyNumberFormat="1" applyFont="1" applyFill="1" applyBorder="1" applyAlignment="1">
      <x:alignment vertical="center"/>
    </x:xf>
    <x:xf numFmtId="0" fontId="27" fillId="0" borderId="4" xfId="0" applyNumberFormat="1" applyFont="1" applyFill="1" applyBorder="1" applyAlignment="1">
      <x:alignment vertical="center"/>
    </x:xf>
    <x:xf numFmtId="204" fontId="28" fillId="0" borderId="4" xfId="0" applyNumberFormat="1" applyFont="1" applyFill="1" applyBorder="1" applyAlignment="1">
      <x:alignment vertical="center"/>
    </x:xf>
    <x:xf numFmtId="204" fontId="27" fillId="0" borderId="4" xfId="0" applyNumberFormat="1" applyFont="1" applyFill="1" applyBorder="1" applyAlignment="1">
      <x:alignment vertical="center"/>
    </x:xf>
    <x:xf numFmtId="206" fontId="28" fillId="0" borderId="4" xfId="0" applyNumberFormat="1" applyFont="1" applyFill="1" applyBorder="1" applyAlignment="1">
      <x:alignment vertical="center"/>
    </x:xf>
    <x:xf numFmtId="202" fontId="28" fillId="0" borderId="4" xfId="0" applyNumberFormat="1" applyFont="1" applyFill="1" applyBorder="1" applyAlignment="1">
      <x:alignment vertical="center"/>
    </x:xf>
    <x:xf numFmtId="207" fontId="28" fillId="0" borderId="4" xfId="0" applyNumberFormat="1" applyFont="1" applyFill="1" applyBorder="1" applyAlignment="1">
      <x:alignment vertical="center"/>
    </x:xf>
    <x:xf numFmtId="0" fontId="24" fillId="3" borderId="5" xfId="0" applyNumberFormat="1" applyFont="1" applyFill="1" applyBorder="1" applyAlignment="1">
      <x:alignment vertical="center"/>
    </x:xf>
    <x:xf numFmtId="204" fontId="24" fillId="3" borderId="5" xfId="0" applyNumberFormat="1" applyFont="1" applyFill="1" applyBorder="1" applyAlignment="1">
      <x:alignment vertical="center"/>
    </x:xf>
    <x:xf numFmtId="206" fontId="24" fillId="3" borderId="5" xfId="0" applyNumberFormat="1" applyFont="1" applyFill="1" applyBorder="1" applyAlignment="1">
      <x:alignment vertical="center"/>
    </x:xf>
    <x:xf numFmtId="0" fontId="24" fillId="3" borderId="0" xfId="0" applyNumberFormat="1" applyFont="1" applyFill="1" applyBorder="1" applyAlignment="1">
      <x:alignment vertical="center"/>
    </x:xf>
    <x:xf numFmtId="204" fontId="24" fillId="3" borderId="0" xfId="0" applyNumberFormat="1" applyFont="1" applyFill="1" applyBorder="1" applyAlignment="1">
      <x:alignment vertical="center"/>
    </x:xf>
    <x:xf numFmtId="206" fontId="24" fillId="3" borderId="0" xfId="0" applyNumberFormat="1" applyFont="1" applyFill="1" applyBorder="1" applyAlignment="1">
      <x:alignment vertical="center"/>
    </x:xf>
    <x:xf numFmtId="0" fontId="29" fillId="5" borderId="0" xfId="0" applyNumberFormat="1" applyFont="1" applyFill="1" applyBorder="1" applyAlignment="1">
      <x:alignment vertical="center"/>
    </x:xf>
    <x:xf numFmtId="208" fontId="29" fillId="5" borderId="0" xfId="0" applyNumberFormat="1" applyFont="1" applyFill="1" applyBorder="1" applyAlignment="1">
      <x:alignment vertical="center"/>
    </x:xf>
    <x:xf numFmtId="0" fontId="21" fillId="4" borderId="0" xfId="0" applyNumberFormat="1" applyFont="1" applyFill="1" applyBorder="1"/>
    <x:xf numFmtId="0" fontId="27" fillId="7" borderId="2" xfId="0" applyNumberFormat="1" applyFont="1" applyFill="1" applyBorder="1"/>
    <x:xf numFmtId="200" fontId="27" fillId="7" borderId="2" xfId="0" applyNumberFormat="1" applyFont="1" applyFill="1" applyBorder="1"/>
    <x:xf numFmtId="201" fontId="27" fillId="7" borderId="2" xfId="0" applyNumberFormat="1" applyFont="1" applyFill="1" applyBorder="1"/>
    <x:xf numFmtId="202" fontId="27" fillId="7" borderId="2" xfId="0" applyNumberFormat="1" applyFont="1" applyFill="1" applyBorder="1"/>
    <x:xf numFmtId="203" fontId="27" fillId="7" borderId="2" xfId="0" applyNumberFormat="1" applyFont="1" applyFill="1" applyBorder="1"/>
    <x:xf numFmtId="204" fontId="25" fillId="7" borderId="2" xfId="0" applyNumberFormat="1" applyFont="1" applyFill="1" applyBorder="1"/>
    <x:xf numFmtId="205" fontId="25" fillId="7" borderId="2" xfId="0" applyNumberFormat="1" applyFont="1" applyFill="1" applyBorder="1"/>
    <x:xf numFmtId="202" fontId="25" fillId="7" borderId="2" xfId="0" applyNumberFormat="1" applyFont="1" applyFill="1" applyBorder="1"/>
    <x:xf numFmtId="200" fontId="25" fillId="7" borderId="2" xfId="0" applyNumberFormat="1" applyFont="1" applyFill="1" applyBorder="1"/>
    <x:xf numFmtId="200" fontId="27" fillId="0" borderId="3" xfId="0" applyNumberFormat="1" applyFont="1" applyFill="1" applyBorder="1"/>
    <x:xf numFmtId="201" fontId="27" fillId="0" borderId="3" xfId="0" applyNumberFormat="1" applyFont="1" applyFill="1" applyBorder="1"/>
    <x:xf numFmtId="202" fontId="27" fillId="0" borderId="3" xfId="0" applyNumberFormat="1" applyFont="1" applyFill="1" applyBorder="1"/>
    <x:xf numFmtId="203" fontId="27" fillId="0" borderId="3" xfId="0" applyNumberFormat="1" applyFont="1" applyFill="1" applyBorder="1"/>
    <x:xf numFmtId="204" fontId="25" fillId="0" borderId="3" xfId="0" applyNumberFormat="1" applyFont="1" applyFill="1" applyBorder="1"/>
    <x:xf numFmtId="205" fontId="25" fillId="0" borderId="3" xfId="0" applyNumberFormat="1" applyFont="1" applyFill="1" applyBorder="1"/>
    <x:xf numFmtId="202" fontId="25" fillId="0" borderId="3" xfId="0" applyNumberFormat="1" applyFont="1" applyFill="1" applyBorder="1"/>
    <x:xf numFmtId="200" fontId="25" fillId="0" borderId="3" xfId="0" applyNumberFormat="1" applyFont="1" applyFill="1" applyBorder="1"/>
    <x:xf numFmtId="200" fontId="27" fillId="0" borderId="4" xfId="0" applyNumberFormat="1" applyFont="1" applyFill="1" applyBorder="1"/>
    <x:xf numFmtId="201" fontId="27" fillId="0" borderId="4" xfId="0" applyNumberFormat="1" applyFont="1" applyFill="1" applyBorder="1"/>
    <x:xf numFmtId="202" fontId="27" fillId="0" borderId="4" xfId="0" applyNumberFormat="1" applyFont="1" applyFill="1" applyBorder="1"/>
    <x:xf numFmtId="203" fontId="27" fillId="0" borderId="4" xfId="0" applyNumberFormat="1" applyFont="1" applyFill="1" applyBorder="1"/>
    <x:xf numFmtId="204" fontId="25" fillId="0" borderId="4" xfId="0" applyNumberFormat="1" applyFont="1" applyFill="1" applyBorder="1"/>
    <x:xf numFmtId="205" fontId="25" fillId="0" borderId="4" xfId="0" applyNumberFormat="1" applyFont="1" applyFill="1" applyBorder="1"/>
    <x:xf numFmtId="202" fontId="25" fillId="0" borderId="4" xfId="0" applyNumberFormat="1" applyFont="1" applyFill="1" applyBorder="1"/>
    <x:xf numFmtId="200" fontId="25" fillId="0" borderId="4" xfId="0" applyNumberFormat="1" applyFont="1" applyFill="1" applyBorder="1"/>
    <x:xf numFmtId="0" fontId="21" fillId="4" borderId="0" xfId="0" applyNumberFormat="1" applyFont="1" applyFill="1" applyBorder="1" applyAlignment="1">
      <x:alignment vertical="center"/>
    </x:xf>
    <x:xf numFmtId="0" fontId="27" fillId="7" borderId="2" xfId="0" applyNumberFormat="1" applyFont="1" applyFill="1" applyBorder="1" applyAlignment="1">
      <x:alignment vertical="center"/>
    </x:xf>
    <x:xf numFmtId="200" fontId="27" fillId="7" borderId="2" xfId="0" applyNumberFormat="1" applyFont="1" applyFill="1" applyBorder="1" applyAlignment="1">
      <x:alignment vertical="center"/>
    </x:xf>
    <x:xf numFmtId="201" fontId="27" fillId="7" borderId="2" xfId="0" applyNumberFormat="1" applyFont="1" applyFill="1" applyBorder="1" applyAlignment="1">
      <x:alignment vertical="center"/>
    </x:xf>
    <x:xf numFmtId="202" fontId="27" fillId="7" borderId="2" xfId="0" applyNumberFormat="1" applyFont="1" applyFill="1" applyBorder="1" applyAlignment="1">
      <x:alignment vertical="center"/>
    </x:xf>
    <x:xf numFmtId="203" fontId="27" fillId="7" borderId="2" xfId="0" applyNumberFormat="1" applyFont="1" applyFill="1" applyBorder="1" applyAlignment="1">
      <x:alignment vertical="center"/>
    </x:xf>
    <x:xf numFmtId="204" fontId="25" fillId="7" borderId="2" xfId="0" applyNumberFormat="1" applyFont="1" applyFill="1" applyBorder="1" applyAlignment="1">
      <x:alignment vertical="center"/>
    </x:xf>
    <x:xf numFmtId="205" fontId="25" fillId="7" borderId="2" xfId="0" applyNumberFormat="1" applyFont="1" applyFill="1" applyBorder="1" applyAlignment="1">
      <x:alignment vertical="center"/>
    </x:xf>
    <x:xf numFmtId="202" fontId="25" fillId="7" borderId="2" xfId="0" applyNumberFormat="1" applyFont="1" applyFill="1" applyBorder="1" applyAlignment="1">
      <x:alignment vertical="center"/>
    </x:xf>
    <x:xf numFmtId="200" fontId="25" fillId="7" borderId="2" xfId="0" applyNumberFormat="1" applyFont="1" applyFill="1" applyBorder="1" applyAlignment="1">
      <x:alignment vertical="center"/>
    </x:xf>
    <x:xf numFmtId="200" fontId="27" fillId="0" borderId="3" xfId="0" applyNumberFormat="1" applyFont="1" applyFill="1" applyBorder="1" applyAlignment="1">
      <x:alignment vertical="center"/>
    </x:xf>
    <x:xf numFmtId="201" fontId="27" fillId="0" borderId="3" xfId="0" applyNumberFormat="1" applyFont="1" applyFill="1" applyBorder="1" applyAlignment="1">
      <x:alignment vertical="center"/>
    </x:xf>
    <x:xf numFmtId="202" fontId="27" fillId="0" borderId="3" xfId="0" applyNumberFormat="1" applyFont="1" applyFill="1" applyBorder="1" applyAlignment="1">
      <x:alignment vertical="center"/>
    </x:xf>
    <x:xf numFmtId="203" fontId="27" fillId="0" borderId="3" xfId="0" applyNumberFormat="1" applyFont="1" applyFill="1" applyBorder="1" applyAlignment="1">
      <x:alignment vertical="center"/>
    </x:xf>
    <x:xf numFmtId="204" fontId="25" fillId="0" borderId="3" xfId="0" applyNumberFormat="1" applyFont="1" applyFill="1" applyBorder="1" applyAlignment="1">
      <x:alignment vertical="center"/>
    </x:xf>
    <x:xf numFmtId="205" fontId="25" fillId="0" borderId="3" xfId="0" applyNumberFormat="1" applyFont="1" applyFill="1" applyBorder="1" applyAlignment="1">
      <x:alignment vertical="center"/>
    </x:xf>
    <x:xf numFmtId="202" fontId="25" fillId="0" borderId="3" xfId="0" applyNumberFormat="1" applyFont="1" applyFill="1" applyBorder="1" applyAlignment="1">
      <x:alignment vertical="center"/>
    </x:xf>
    <x:xf numFmtId="200" fontId="25" fillId="0" borderId="3" xfId="0" applyNumberFormat="1" applyFont="1" applyFill="1" applyBorder="1" applyAlignment="1">
      <x:alignment vertical="center"/>
    </x:xf>
    <x:xf numFmtId="200" fontId="27" fillId="0" borderId="4" xfId="0" applyNumberFormat="1" applyFont="1" applyFill="1" applyBorder="1" applyAlignment="1">
      <x:alignment vertical="center"/>
    </x:xf>
    <x:xf numFmtId="201" fontId="27" fillId="0" borderId="4" xfId="0" applyNumberFormat="1" applyFont="1" applyFill="1" applyBorder="1" applyAlignment="1">
      <x:alignment vertical="center"/>
    </x:xf>
    <x:xf numFmtId="202" fontId="27" fillId="0" borderId="4" xfId="0" applyNumberFormat="1" applyFont="1" applyFill="1" applyBorder="1" applyAlignment="1">
      <x:alignment vertical="center"/>
    </x:xf>
    <x:xf numFmtId="203" fontId="27" fillId="0" borderId="4" xfId="0" applyNumberFormat="1" applyFont="1" applyFill="1" applyBorder="1" applyAlignment="1">
      <x:alignment vertical="center"/>
    </x:xf>
    <x:xf numFmtId="204" fontId="25" fillId="0" borderId="4" xfId="0" applyNumberFormat="1" applyFont="1" applyFill="1" applyBorder="1" applyAlignment="1">
      <x:alignment vertical="center"/>
    </x:xf>
    <x:xf numFmtId="205" fontId="25" fillId="0" borderId="4" xfId="0" applyNumberFormat="1" applyFont="1" applyFill="1" applyBorder="1" applyAlignment="1">
      <x:alignment vertical="center"/>
    </x:xf>
    <x:xf numFmtId="202" fontId="25" fillId="0" borderId="4" xfId="0" applyNumberFormat="1" applyFont="1" applyFill="1" applyBorder="1" applyAlignment="1">
      <x:alignment vertical="center"/>
    </x:xf>
    <x:xf numFmtId="200" fontId="25" fillId="0" borderId="4" xfId="0" applyNumberFormat="1" applyFont="1" applyFill="1" applyBorder="1" applyAlignment="1">
      <x:alignment vertical="center"/>
    </x:xf>
    <x:xf numFmtId="0" fontId="17" fillId="0" borderId="2" xfId="0" applyNumberFormat="1" applyFont="1" applyFill="1" applyBorder="1" applyAlignment="1">
      <x:alignment vertical="top" wrapText="1"/>
    </x:xf>
    <x:xf numFmtId="0" fontId="17" fillId="0" borderId="3" xfId="0" applyNumberFormat="1" applyFont="1" applyFill="1" applyBorder="1" applyAlignment="1">
      <x:alignment vertical="top" wrapText="1"/>
    </x:xf>
    <x:xf numFmtId="0" fontId="17" fillId="0" borderId="4" xfId="0" applyNumberFormat="1" applyFont="1" applyFill="1" applyBorder="1" applyAlignment="1">
      <x:alignment vertical="top" wrapText="1"/>
    </x:xf>
    <x:xf numFmtId="0" fontId="17" fillId="0" borderId="2" xfId="0" applyNumberFormat="1" applyFont="1" applyFill="1" applyBorder="1" applyAlignment="1">
      <x:alignment vertical="center" wrapText="1"/>
    </x:xf>
    <x:xf numFmtId="0" fontId="17" fillId="0" borderId="3" xfId="0" applyNumberFormat="1" applyFont="1" applyFill="1" applyBorder="1" applyAlignment="1">
      <x:alignment vertical="center" wrapText="1"/>
    </x:xf>
    <x:xf numFmtId="0" fontId="17" fillId="0" borderId="4" xfId="0" applyNumberFormat="1" applyFont="1" applyFill="1" applyBorder="1" applyAlignment="1">
      <x:alignment vertical="center" wrapText="1"/>
    </x:xf>
    <x:xf numFmtId="0" fontId="18" fillId="2" borderId="16" xfId="0" applyNumberFormat="1" applyFont="1" applyFill="1" applyBorder="1"/>
    <x:xf numFmtId="0" fontId="18" fillId="2" borderId="17" xfId="0" applyNumberFormat="1" applyFont="1" applyFill="1" applyBorder="1"/>
    <x:xf numFmtId="0" fontId="18" fillId="2" borderId="18" xfId="0" applyNumberFormat="1" applyFont="1" applyFill="1" applyBorder="1"/>
    <x:xf numFmtId="0" fontId="18" fillId="2" borderId="16" xfId="0" applyNumberFormat="1" applyFont="1" applyFill="1" applyBorder="1" applyAlignment="1">
      <x:alignment vertical="center"/>
    </x:xf>
    <x:xf numFmtId="0" fontId="18" fillId="2" borderId="17" xfId="0" applyNumberFormat="1" applyFont="1" applyFill="1" applyBorder="1" applyAlignment="1">
      <x:alignment vertical="center"/>
    </x:xf>
    <x:xf numFmtId="0" fontId="18" fillId="2" borderId="18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color rgb="FFB42318"/>
      </x:font>
      <x:fill>
        <x:patternFill patternType="solid">
          <x:bgColor rgb="FFFDECEC"/>
        </x:patternFill>
      </x:fill>
    </x:dxf>
    <x:dxf>
      <x:font>
        <x:b/>
        <x:color rgb="FF0B7A48"/>
      </x:font>
      <x:fill>
        <x:patternFill patternType="solid">
          <x:bgColor rgb="FFE7F6E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173076d08e499e" /><Relationship Type="http://schemas.openxmlformats.org/officeDocument/2006/relationships/theme" Target="/xl/theme/theme1.xml" Id="R2388b23acc9b4ff0" /><Relationship Type="http://schemas.openxmlformats.org/officeDocument/2006/relationships/sharedStrings" Target="/xl/sharedStrings.xml" Id="Ra91e5a62f2c84213" /><Relationship Type="http://schemas.openxmlformats.org/officeDocument/2006/relationships/worksheet" Target="/xl/worksheets/sheet1.xml" Id="R022b0a8bdb6c45a7" /><Relationship Type="http://schemas.openxmlformats.org/officeDocument/2006/relationships/worksheet" Target="/xl/worksheets/sheet2.xml" Id="Rb0af1f0c98c7451b" /><Relationship Type="http://schemas.openxmlformats.org/officeDocument/2006/relationships/worksheet" Target="/xl/worksheets/sheet3.xml" Id="Rc10f73288e3645e8" /><Relationship Type="http://schemas.openxmlformats.org/officeDocument/2006/relationships/worksheet" Target="/xl/worksheets/sheet4.xml" Id="Rccb00089a6424171" /><Relationship Type="http://schemas.openxmlformats.org/officeDocument/2006/relationships/worksheet" Target="/xl/worksheets/sheet5.xml" Id="R0edd61a782cc4e19" /><Relationship Type="http://schemas.openxmlformats.org/officeDocument/2006/relationships/worksheet" Target="/xl/worksheets/sheet6.xml" Id="R0ca654b23eb241d7" /><Relationship Type="http://schemas.microsoft.com/office/2017/10/relationships/person" Target="/xl/persons/person.xml" Id="R63c0053f5c2445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731603db80f4c9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Datadog trades at an exceptional revenue multiple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EV / NTM Revenue</c:v>
          </c:tx>
          <c:spPr>
            <a:solidFill xmlns:a="http://schemas.openxmlformats.org/drawingml/2006/main">
              <a:srgbClr val="1D4ED8"/>
            </a:solidFill>
          </c:spPr>
          <c:cat>
            <c:strRef>
              <c:f>'Summary'!$A$30:$A$38</c:f>
              <c:strCache>
                <c:ptCount val="0"/>
              </c:strCache>
            </c:strRef>
          </c:cat>
          <c:val>
            <c:numRef>
              <c:f>'Summary'!$B$30:$B$38</c:f>
              <c:numCache>
                <c:formatCode>0.0x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x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28</xdr:row>
      <xdr:rowOff>0</xdr:rowOff>
    </xdr:from>
    <xdr:to>
      <xdr:col>12</xdr:col>
      <xdr:colOff>0</xdr:colOff>
      <xdr:row>44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731603db80f4c90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Taras Vynnychuk" id="{E9D53F6A-A079-4599-935D-63EDD3D8558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5" dT="2026-08-02T15:46:52.806" personId="{E9D53F6A-A079-4599-935D-63EDD3D85587}" id="{56B621D7-9735-A2BF-3DB7-BA2A711B50E4}">
    <xltc:text>Market data: 2026-07-31 close. See Sources &amp; Audit for row-level URLs.</xltc:text>
  </xltc:threadedComment>
  <xltc:threadedComment ref="I5" dT="2026-08-02T15:46:52.806" personId="{E9D53F6A-A079-4599-935D-63EDD3D85587}" id="{E862FE64-D4A1-DD77-E07D-B45F202ED4E4}">
    <xltc:text>Historical income-statement inputs are quarterly Fiscal.ai data displayed by StockAnalysis; LTM is the sum of the latest four quarters.</xltc:text>
  </xltc:threadedComment>
  <xltc:threadedComment ref="M5" dT="2026-08-02T15:46:52.806" personId="{E9D53F6A-A079-4599-935D-63EDD3D85587}" id="{76B37926-4222-5BF7-FF05-C1A3881A49C1}">
    <xltc:text>Standardized FCF = CFO less PP&amp;E capex less identified capitalized software/intangible purchases. This is used to reduce cross-company definition differences.</xltc:text>
  </xltc:threadedComment>
  <xltc:threadedComment ref="S5" dT="2026-08-02T15:46:52.806" personId="{E9D53F6A-A079-4599-935D-63EDD3D85587}" id="{CC71FBD0-FB6E-EB56-95B1-0B1B07318A91}">
    <xltc:text>Forward estimates are third-party S&amp;P Global Market Intelligence consensus displayed by StockAnalysis. They are screening inputs, not primary company guidance.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b05d3293184a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01177745aaf3458a" /><Relationship Type="http://schemas.openxmlformats.org/officeDocument/2006/relationships/vmlDrawing" Target="/xl/drawings/vmldrawing.vml" Id="R43f6fca86c9142e6" /><Relationship Type="http://schemas.microsoft.com/office/2017/10/relationships/threadedComment" Target="/xl/threadedcomments/threadedcomment.xml" Id="R0400a1b8f32a44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5" hidden="0" customWidth="1"/>
    <x:col min="3" max="3" width="14" hidden="0" customWidth="1"/>
    <x:col min="4" max="4" width="20" hidden="0" customWidth="1"/>
    <x:col min="5" max="5" width="3" hidden="0" customWidth="1"/>
    <x:col min="6" max="6" width="19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</x:cols>
  <x:sheetData>
    <x:row r="1" ht="34" customHeight="1">
      <x:c r="A1" s="167" t="str">
        <x:v>Datadog peer analysis — investor summary</x:v>
      </x:c>
      <x:c r="B1" s="167" t="str">
        <x:v>Datadog peer analysis — investor summary</x:v>
      </x:c>
      <x:c r="C1" s="167" t="str">
        <x:v>Datadog peer analysis — investor summary</x:v>
      </x:c>
      <x:c r="D1" s="167" t="str">
        <x:v>Datadog peer analysis — investor summary</x:v>
      </x:c>
      <x:c r="E1" s="167" t="str">
        <x:v>Datadog peer analysis — investor summary</x:v>
      </x:c>
      <x:c r="F1" s="167" t="str">
        <x:v>Datadog peer analysis — investor summary</x:v>
      </x:c>
      <x:c r="G1" s="167" t="str">
        <x:v>Datadog peer analysis — investor summary</x:v>
      </x:c>
      <x:c r="H1" s="167" t="str">
        <x:v>Datadog peer analysis — investor summary</x:v>
      </x:c>
      <x:c r="I1" s="167" t="str">
        <x:v>Datadog peer analysis — investor summary</x:v>
      </x:c>
      <x:c r="J1" s="167" t="str">
        <x:v>Datadog peer analysis — investor summary</x:v>
      </x:c>
      <x:c r="K1" s="167" t="str">
        <x:v>Datadog peer analysis — investor summary</x:v>
      </x:c>
      <x:c r="L1" s="167" t="str">
        <x:v>Datadog peer analysis — investor summary</x:v>
      </x:c>
    </x:row>
    <x:row r="2" ht="34" customHeight="1">
      <x:c r="A2" s="168" t="str">
        <x:v>Valuation date: 2026-07-31 | LTM actuals through latest reported quarter | NTM is a transparent calendarized proxy, not a paid quarterly consensus feed</x:v>
      </x:c>
      <x:c r="B2" s="168" t="str">
        <x:v>Valuation date: 2026-07-31 | LTM actuals through latest reported quarter | NTM is a transparent calendarized proxy, not a paid quarterly consensus feed</x:v>
      </x:c>
      <x:c r="C2" s="168" t="str">
        <x:v>Valuation date: 2026-07-31 | LTM actuals through latest reported quarter | NTM is a transparent calendarized proxy, not a paid quarterly consensus feed</x:v>
      </x:c>
      <x:c r="D2" s="168" t="str">
        <x:v>Valuation date: 2026-07-31 | LTM actuals through latest reported quarter | NTM is a transparent calendarized proxy, not a paid quarterly consensus feed</x:v>
      </x:c>
      <x:c r="E2" s="168" t="str">
        <x:v>Valuation date: 2026-07-31 | LTM actuals through latest reported quarter | NTM is a transparent calendarized proxy, not a paid quarterly consensus feed</x:v>
      </x:c>
      <x:c r="F2" s="168" t="str">
        <x:v>Valuation date: 2026-07-31 | LTM actuals through latest reported quarter | NTM is a transparent calendarized proxy, not a paid quarterly consensus feed</x:v>
      </x:c>
      <x:c r="G2" s="168" t="str">
        <x:v>Valuation date: 2026-07-31 | LTM actuals through latest reported quarter | NTM is a transparent calendarized proxy, not a paid quarterly consensus feed</x:v>
      </x:c>
      <x:c r="H2" s="168" t="str">
        <x:v>Valuation date: 2026-07-31 | LTM actuals through latest reported quarter | NTM is a transparent calendarized proxy, not a paid quarterly consensus feed</x:v>
      </x:c>
      <x:c r="I2" s="168" t="str">
        <x:v>Valuation date: 2026-07-31 | LTM actuals through latest reported quarter | NTM is a transparent calendarized proxy, not a paid quarterly consensus feed</x:v>
      </x:c>
      <x:c r="J2" s="168" t="str">
        <x:v>Valuation date: 2026-07-31 | LTM actuals through latest reported quarter | NTM is a transparent calendarized proxy, not a paid quarterly consensus feed</x:v>
      </x:c>
      <x:c r="K2" s="168" t="str">
        <x:v>Valuation date: 2026-07-31 | LTM actuals through latest reported quarter | NTM is a transparent calendarized proxy, not a paid quarterly consensus feed</x:v>
      </x:c>
      <x:c r="L2" s="168" t="str">
        <x:v>Valuation date: 2026-07-31 | LTM actuals through latest reported quarter | NTM is a transparent calendarized proxy, not a paid quarterly consensus feed</x:v>
      </x:c>
    </x:row>
    <x:row r="3">
      <x:c r="A3" s="208"/>
      <x:c r="B3" s="208"/>
      <x:c r="C3" s="208"/>
      <x:c r="D3" s="208"/>
      <x:c r="E3" s="208"/>
      <x:c r="F3" s="208"/>
      <x:c r="G3" s="208"/>
      <x:c r="H3" s="208"/>
      <x:c r="I3" s="208"/>
      <x:c r="J3" s="208"/>
      <x:c r="K3" s="208"/>
      <x:c r="L3" s="208"/>
    </x:row>
    <x:row r="4" ht="22" customHeight="1">
      <x:c r="A4" s="170" t="str">
        <x:v>Datadog snapshot</x:v>
      </x:c>
      <x:c r="B4" s="170" t="str">
        <x:v>Datadog snapshot</x:v>
      </x:c>
      <x:c r="C4" s="170" t="str">
        <x:v>Datadog snapshot</x:v>
      </x:c>
      <x:c r="D4" s="170" t="str">
        <x:v>Datadog snapshot</x:v>
      </x:c>
      <x:c r="E4" s="170" t="str">
        <x:v>Datadog snapshot</x:v>
      </x:c>
      <x:c r="F4" s="170" t="str">
        <x:v>Datadog snapshot</x:v>
      </x:c>
      <x:c r="G4" s="170" t="str">
        <x:v>Datadog snapshot</x:v>
      </x:c>
      <x:c r="H4" s="170" t="str">
        <x:v>Datadog snapshot</x:v>
      </x:c>
      <x:c r="I4" s="170" t="str">
        <x:v>Datadog snapshot</x:v>
      </x:c>
      <x:c r="J4" s="170" t="str">
        <x:v>Datadog snapshot</x:v>
      </x:c>
      <x:c r="K4" s="170" t="str">
        <x:v>Datadog snapshot</x:v>
      </x:c>
      <x:c r="L4" s="170" t="str">
        <x:v>Datadog snapshot</x:v>
      </x:c>
    </x:row>
    <x:row r="5">
      <x:c r="A5" s="209" t="str">
        <x:v>LTM revenue growth</x:v>
      </x:c>
      <x:c r="B5" s="210"/>
      <x:c r="C5" s="211" t="n">
        <x:f>'Comps'!D6</x:f>
        <x:v>0.29544323223058133</x:v>
      </x:c>
      <x:c r="D5" s="212"/>
      <x:c r="E5" s="209" t="str">
        <x:v>Std. FCF margin</x:v>
      </x:c>
      <x:c r="F5" s="210"/>
      <x:c r="G5" s="211" t="n">
        <x:f>'Comps'!H6</x:f>
        <x:v>0.26127693366423105</x:v>
      </x:c>
      <x:c r="H5" s="212"/>
      <x:c r="I5" s="209" t="str">
        <x:v>Rule of 40</x:v>
      </x:c>
      <x:c r="J5" s="210"/>
      <x:c r="K5" s="211" t="n">
        <x:f>'Comps'!I6</x:f>
        <x:v>0.5567201658948124</x:v>
      </x:c>
      <x:c r="L5" s="212"/>
    </x:row>
    <x:row r="6">
      <x:c r="A6" s="209" t="str">
        <x:v>EV / NTM Revenue</x:v>
      </x:c>
      <x:c r="B6" s="210"/>
      <x:c r="C6" s="213" t="n">
        <x:f>'Comps'!M6</x:f>
        <x:v>20.755695455564503</x:v>
      </x:c>
      <x:c r="D6" s="212"/>
      <x:c r="E6" s="209" t="str">
        <x:v>Equity / NTM FCF</x:v>
      </x:c>
      <x:c r="F6" s="210"/>
      <x:c r="G6" s="213" t="n">
        <x:f>'Comps'!N6</x:f>
        <x:v>82.3667571072407</x:v>
      </x:c>
      <x:c r="H6" s="212"/>
      <x:c r="I6" s="209" t="str">
        <x:v>NTM FCF yield</x:v>
      </x:c>
      <x:c r="J6" s="210"/>
      <x:c r="K6" s="211" t="n">
        <x:f>'Comps'!O6</x:f>
        <x:v>0.012140820339667006</x:v>
      </x:c>
      <x:c r="L6" s="212"/>
    </x:row>
    <x:row r="7">
      <x:c r="A7" s="208"/>
      <x:c r="B7" s="208"/>
      <x:c r="C7" s="208"/>
      <x:c r="D7" s="208"/>
      <x:c r="E7" s="208"/>
      <x:c r="F7" s="208"/>
      <x:c r="G7" s="208"/>
      <x:c r="H7" s="208"/>
      <x:c r="I7" s="208"/>
      <x:c r="J7" s="208"/>
      <x:c r="K7" s="208"/>
      <x:c r="L7" s="208"/>
    </x:row>
    <x:row r="8">
      <x:c r="A8" s="176" t="str">
        <x:v>Висновок: Datadog — одна з найсильніших компаній у вибірці за поєднанням росту та стандартизованого FCF, але акція вже оцінена як виняткова. Премія до broad-peer median значно перевищує перевагу у growth та margin; на поточній оцінці головний ризик — не якість бізнесу, а стиск мультиплікатора.</x:v>
      </x:c>
      <x:c r="B8" s="177"/>
      <x:c r="C8" s="177"/>
      <x:c r="D8" s="177"/>
      <x:c r="E8" s="177"/>
      <x:c r="F8" s="177"/>
      <x:c r="G8" s="177"/>
      <x:c r="H8" s="177"/>
      <x:c r="I8" s="177"/>
      <x:c r="J8" s="177"/>
      <x:c r="K8" s="177"/>
      <x:c r="L8" s="178"/>
    </x:row>
    <x:row r="9">
      <x:c r="A9" s="179"/>
      <x:c r="B9" s="180"/>
      <x:c r="C9" s="180"/>
      <x:c r="D9" s="180"/>
      <x:c r="E9" s="180"/>
      <x:c r="F9" s="180"/>
      <x:c r="G9" s="180"/>
      <x:c r="H9" s="180"/>
      <x:c r="I9" s="180"/>
      <x:c r="J9" s="180"/>
      <x:c r="K9" s="180"/>
      <x:c r="L9" s="181"/>
    </x:row>
    <x:row r="10">
      <x:c r="A10" s="182"/>
      <x:c r="B10" s="183"/>
      <x:c r="C10" s="183"/>
      <x:c r="D10" s="183"/>
      <x:c r="E10" s="183"/>
      <x:c r="F10" s="183"/>
      <x:c r="G10" s="183"/>
      <x:c r="H10" s="183"/>
      <x:c r="I10" s="183"/>
      <x:c r="J10" s="183"/>
      <x:c r="K10" s="183"/>
      <x:c r="L10" s="184"/>
    </x:row>
    <x:row r="11">
      <x:c r="A11" s="208"/>
      <x:c r="B11" s="208"/>
      <x:c r="C11" s="208"/>
      <x:c r="D11" s="208"/>
      <x:c r="E11" s="208"/>
      <x:c r="F11" s="208"/>
      <x:c r="G11" s="208"/>
      <x:c r="H11" s="208"/>
      <x:c r="I11" s="208"/>
      <x:c r="J11" s="208"/>
      <x:c r="K11" s="208"/>
      <x:c r="L11" s="208"/>
    </x:row>
    <x:row r="12" ht="22" customHeight="1">
      <x:c r="A12" s="170" t="str">
        <x:v>Що підтримує премію</x:v>
      </x:c>
      <x:c r="B12" s="170" t="str">
        <x:v>Що підтримує премію</x:v>
      </x:c>
      <x:c r="C12" s="170" t="str">
        <x:v>Що підтримує премію</x:v>
      </x:c>
      <x:c r="D12" s="170" t="str">
        <x:v>Що підтримує премію</x:v>
      </x:c>
      <x:c r="E12" s="170" t="str">
        <x:v>Що підтримує премію</x:v>
      </x:c>
      <x:c r="F12" s="170" t="str">
        <x:v>Що підтримує премію</x:v>
      </x:c>
      <x:c r="G12" s="170" t="str">
        <x:v>Що робить оцінку крихкою</x:v>
      </x:c>
      <x:c r="H12" s="170" t="str">
        <x:v>Що робить оцінку крихкою</x:v>
      </x:c>
      <x:c r="I12" s="170" t="str">
        <x:v>Що робить оцінку крихкою</x:v>
      </x:c>
      <x:c r="J12" s="170" t="str">
        <x:v>Що робить оцінку крихкою</x:v>
      </x:c>
      <x:c r="K12" s="170" t="str">
        <x:v>Що робить оцінку крихкою</x:v>
      </x:c>
      <x:c r="L12" s="170" t="str">
        <x:v>Що робить оцінку крихкою</x:v>
      </x:c>
    </x:row>
    <x:row r="13" ht="28" customHeight="1">
      <x:c r="A13" s="214" t="str">
        <x:v>• LTM growth ~30% — вище за більшість peer set</x:v>
      </x:c>
      <x:c r="B13" s="214"/>
      <x:c r="C13" s="214"/>
      <x:c r="D13" s="214"/>
      <x:c r="E13" s="214"/>
      <x:c r="F13" s="214"/>
      <x:c r="G13" s="215" t="str">
        <x:v>• ~21x EV / NTM Revenue — друга найдорожча після NET</x:v>
      </x:c>
      <x:c r="H13" s="215"/>
      <x:c r="I13" s="215"/>
      <x:c r="J13" s="215"/>
      <x:c r="K13" s="215"/>
      <x:c r="L13" s="215"/>
    </x:row>
    <x:row r="14" ht="28" customHeight="1">
      <x:c r="A14" s="214" t="str">
        <x:v>• ~80% gross margin при standardized FCF margin ~26%</x:v>
      </x:c>
      <x:c r="B14" s="214"/>
      <x:c r="C14" s="214"/>
      <x:c r="D14" s="214"/>
      <x:c r="E14" s="214"/>
      <x:c r="F14" s="214"/>
      <x:c r="G14" s="215" t="str">
        <x:v>• ~82x Equity / NTM FCF і лише ~1.2% forward FCF yield</x:v>
      </x:c>
      <x:c r="H14" s="215"/>
      <x:c r="I14" s="215"/>
      <x:c r="J14" s="215"/>
      <x:c r="K14" s="215"/>
      <x:c r="L14" s="215"/>
    </x:row>
    <x:row r="15" ht="28" customHeight="1">
      <x:c r="A15" s="214" t="str">
        <x:v>• Rule of 40 — найкращий або близький до найкращого у вибірці</x:v>
      </x:c>
      <x:c r="B15" s="214"/>
      <x:c r="C15" s="214"/>
      <x:c r="D15" s="214"/>
      <x:c r="E15" s="214"/>
      <x:c r="F15" s="214"/>
      <x:c r="G15" s="215" t="str">
        <x:v>• SBC ~21% revenue; економічна FCF–SBC margin лише ~5%</x:v>
      </x:c>
      <x:c r="H15" s="215"/>
      <x:c r="I15" s="215"/>
      <x:c r="J15" s="215"/>
      <x:c r="K15" s="215"/>
      <x:c r="L15" s="215"/>
    </x:row>
    <x:row r="16" ht="28" customHeight="1">
      <x:c r="A16" s="214" t="str">
        <x:v>• GAAP operating margin майже breakeven, краща за більшість growth peers</x:v>
      </x:c>
      <x:c r="B16" s="214"/>
      <x:c r="C16" s="214"/>
      <x:c r="D16" s="214"/>
      <x:c r="E16" s="214"/>
      <x:c r="F16" s="214"/>
      <x:c r="G16" s="215" t="str">
        <x:v>• Basic-share dilution ~3% YoY: FCF не дорівнює FCF на акцію</x:v>
      </x:c>
      <x:c r="H16" s="215"/>
      <x:c r="I16" s="215"/>
      <x:c r="J16" s="215"/>
      <x:c r="K16" s="215"/>
      <x:c r="L16" s="215"/>
    </x:row>
    <x:row r="17" ht="28" customHeight="1">
      <x:c r="A17" s="214" t="str">
        <x:v>• FCF після SBC лишається позитивним, на відміну від NET та SNOW</x:v>
      </x:c>
      <x:c r="B17" s="214"/>
      <x:c r="C17" s="214"/>
      <x:c r="D17" s="214"/>
      <x:c r="E17" s="214"/>
      <x:c r="F17" s="214"/>
      <x:c r="G17" s="215" t="str">
        <x:v>• Премія до direct peers не пояснюється лише поточними цифрами</x:v>
      </x:c>
      <x:c r="H17" s="215"/>
      <x:c r="I17" s="215"/>
      <x:c r="J17" s="215"/>
      <x:c r="K17" s="215"/>
      <x:c r="L17" s="215"/>
    </x:row>
    <x:row r="18">
      <x:c r="A18" s="208"/>
      <x:c r="B18" s="208"/>
      <x:c r="C18" s="208"/>
      <x:c r="D18" s="208"/>
      <x:c r="E18" s="208"/>
      <x:c r="F18" s="208"/>
      <x:c r="G18" s="208"/>
      <x:c r="H18" s="208"/>
      <x:c r="I18" s="208"/>
      <x:c r="J18" s="208"/>
      <x:c r="K18" s="208"/>
      <x:c r="L18" s="208"/>
    </x:row>
    <x:row r="19" ht="22" customHeight="1">
      <x:c r="A19" s="170" t="str">
        <x:v>Datadog revenue-multiple sensitivity</x:v>
      </x:c>
      <x:c r="B19" s="170" t="str">
        <x:v>Datadog revenue-multiple sensitivity</x:v>
      </x:c>
      <x:c r="C19" s="170" t="str">
        <x:v>Datadog revenue-multiple sensitivity</x:v>
      </x:c>
      <x:c r="D19" s="170" t="str">
        <x:v>Datadog revenue-multiple sensitivity</x:v>
      </x:c>
      <x:c r="E19" s="208"/>
      <x:c r="F19" s="170" t="str">
        <x:v>Premium bridge</x:v>
      </x:c>
      <x:c r="G19" s="170" t="str">
        <x:v>Premium bridge</x:v>
      </x:c>
      <x:c r="H19" s="170" t="str">
        <x:v>Premium bridge</x:v>
      </x:c>
      <x:c r="I19" s="170" t="str">
        <x:v>Premium bridge</x:v>
      </x:c>
      <x:c r="J19" s="170" t="str">
        <x:v>Premium bridge</x:v>
      </x:c>
      <x:c r="K19" s="170" t="str">
        <x:v>Premium bridge</x:v>
      </x:c>
      <x:c r="L19" s="170" t="str">
        <x:v>Premium bridge</x:v>
      </x:c>
    </x:row>
    <x:row r="20" ht="34" customHeight="1">
      <x:c r="A20" s="187" t="str">
        <x:v>EV / NTM Revenue</x:v>
      </x:c>
      <x:c r="B20" s="187" t="str">
        <x:v>Implied price</x:v>
      </x:c>
      <x:c r="C20" s="187" t="str">
        <x:v>% vs current</x:v>
      </x:c>
      <x:c r="D20" s="187" t="str">
        <x:v>Interpretation</x:v>
      </x:c>
      <x:c r="E20" s="208"/>
      <x:c r="F20" s="187" t="str">
        <x:v>Metric</x:v>
      </x:c>
      <x:c r="G20" s="187" t="str">
        <x:v>DDOG</x:v>
      </x:c>
      <x:c r="H20" s="187" t="str">
        <x:v>Broad median</x:v>
      </x:c>
      <x:c r="I20" s="187" t="str">
        <x:v>Gap</x:v>
      </x:c>
      <x:c r="J20" s="187" t="str">
        <x:v>Direct median</x:v>
      </x:c>
      <x:c r="K20" s="187" t="str">
        <x:v>Gap</x:v>
      </x:c>
      <x:c r="L20" s="187" t="str">
        <x:v>Read-through</x:v>
      </x:c>
    </x:row>
    <x:row r="21">
      <x:c r="A21" s="216" t="n">
        <x:v>12</x:v>
      </x:c>
      <x:c r="B21" s="217" t="n">
        <x:f>(A21*'Comps'!$Q$6*1000000+'Raw Data'!$G$6-'Raw Data'!$H$6)/('Raw Data'!$F$6/'Raw Data'!$E$6)</x:f>
        <x:v>158.94557986461263</x:v>
      </x:c>
      <x:c r="C21" s="218" t="n">
        <x:f>B21/'Raw Data'!$E$6-1</x:f>
        <x:v>-0.4068530810739538</x:v>
      </x:c>
      <x:c r="D21" s="219" t="str">
        <x:v>Meaningful de-rating</x:v>
      </x:c>
      <x:c r="E21" s="208"/>
      <x:c r="F21" s="219" t="str">
        <x:v>NTM growth</x:v>
      </x:c>
      <x:c r="G21" s="220" t="n">
        <x:f>'Comps'!E6</x:f>
        <x:v>0.2368</x:v>
      </x:c>
      <x:c r="H21" s="220" t="n">
        <x:f>'Comps'!E17</x:f>
        <x:v>0.179675</x:v>
      </x:c>
      <x:c r="I21" s="220" t="n">
        <x:f>G21-H21</x:f>
        <x:v>0.05712500000000001</x:v>
      </x:c>
      <x:c r="J21" s="220" t="n">
        <x:f>'Comps'!E18</x:f>
        <x:v>0.14885416666666668</x:v>
      </x:c>
      <x:c r="K21" s="220" t="n">
        <x:f>G21-J21</x:f>
        <x:v>0.08794583333333333</x:v>
      </x:c>
      <x:c r="L21" s="219" t="str">
        <x:v>Growth edge</x:v>
      </x:c>
    </x:row>
    <x:row r="22">
      <x:c r="A22" s="221" t="n">
        <x:v>16</x:v>
      </x:c>
      <x:c r="B22" s="222" t="n">
        <x:f>(A22*'Comps'!$Q$6*1000000+'Raw Data'!$G$6-'Raw Data'!$H$6)/('Raw Data'!$F$6/'Raw Data'!$E$6)</x:f>
        <x:v>208.75289474379753</x:v>
      </x:c>
      <x:c r="C22" s="223" t="n">
        <x:f>B22/'Raw Data'!$E$6-1</x:f>
        <x:v>-0.2209840849953446</x:v>
      </x:c>
      <x:c r="D22" s="224" t="str">
        <x:v>High-quality premium</x:v>
      </x:c>
      <x:c r="E22" s="208"/>
      <x:c r="F22" s="224" t="str">
        <x:v>Std. FCF margin</x:v>
      </x:c>
      <x:c r="G22" s="225" t="n">
        <x:f>'Comps'!H6</x:f>
        <x:v>0.26127693366423105</x:v>
      </x:c>
      <x:c r="H22" s="225" t="n">
        <x:f>'Comps'!H17</x:f>
        <x:v>0.2469820015054775</x:v>
      </x:c>
      <x:c r="I22" s="225" t="n">
        <x:f>G22-H22</x:f>
        <x:v>0.014294932158753548</x:v>
      </x:c>
      <x:c r="J22" s="225" t="n">
        <x:f>'Comps'!H18</x:f>
        <x:v>0.2236722922073514</x:v>
      </x:c>
      <x:c r="K22" s="225" t="n">
        <x:f>G22-J22</x:f>
        <x:v>0.03760464145687964</x:v>
      </x:c>
      <x:c r="L22" s="224" t="str">
        <x:v>FCF edge</x:v>
      </x:c>
    </x:row>
    <x:row r="23">
      <x:c r="A23" s="221" t="n">
        <x:v>20</x:v>
      </x:c>
      <x:c r="B23" s="222" t="n">
        <x:f>(A23*'Comps'!$Q$6*1000000+'Raw Data'!$G$6-'Raw Data'!$H$6)/('Raw Data'!$F$6/'Raw Data'!$E$6)</x:f>
        <x:v>258.5602096229825</x:v>
      </x:c>
      <x:c r="C23" s="223" t="n">
        <x:f>B23/'Raw Data'!$E$6-1</x:f>
        <x:v>-0.035115088916735204</x:v>
      </x:c>
      <x:c r="D23" s="224" t="str">
        <x:v>Near current</x:v>
      </x:c>
      <x:c r="E23" s="208"/>
      <x:c r="F23" s="224" t="str">
        <x:v>Rule of 40</x:v>
      </x:c>
      <x:c r="G23" s="225" t="n">
        <x:f>'Comps'!I6</x:f>
        <x:v>0.5567201658948124</x:v>
      </x:c>
      <x:c r="H23" s="225" t="n">
        <x:f>'Comps'!I17</x:f>
        <x:v>0.4873218661273319</x:v>
      </x:c>
      <x:c r="I23" s="225" t="n">
        <x:f>G23-H23</x:f>
        <x:v>0.06939829976748052</x:v>
      </x:c>
      <x:c r="J23" s="225" t="n">
        <x:f>'Comps'!I18</x:f>
        <x:v>0.40408188775335163</x:v>
      </x:c>
      <x:c r="K23" s="225" t="n">
        <x:f>G23-J23</x:f>
        <x:v>0.1526382781414608</x:v>
      </x:c>
      <x:c r="L23" s="224" t="str">
        <x:v>Quality edge</x:v>
      </x:c>
    </x:row>
    <x:row r="24">
      <x:c r="A24" s="226" t="n">
        <x:f>'Comps'!M6</x:f>
        <x:v>20.755695455564503</x:v>
      </x:c>
      <x:c r="B24" s="222" t="n">
        <x:f>(A24*'Comps'!$Q$6*1000000+'Raw Data'!$G$6-'Raw Data'!$H$6)/('Raw Data'!$F$6/'Raw Data'!$E$6)</x:f>
        <x:v>267.97</x:v>
      </x:c>
      <x:c r="C24" s="223" t="n">
        <x:f>B24/'Raw Data'!$E$6-1</x:f>
        <x:v>0</x:v>
      </x:c>
      <x:c r="D24" s="224" t="str">
        <x:v>Current screen</x:v>
      </x:c>
      <x:c r="E24" s="208"/>
      <x:c r="F24" s="224" t="str">
        <x:v>EV / NTM Rev</x:v>
      </x:c>
      <x:c r="G24" s="227" t="n">
        <x:f>'Comps'!M6</x:f>
        <x:v>20.755695455564503</x:v>
      </x:c>
      <x:c r="H24" s="227" t="n">
        <x:f>'Comps'!M17</x:f>
        <x:v>6.687202560581908</x:v>
      </x:c>
      <x:c r="I24" s="228" t="n">
        <x:f>G24/H24-1</x:f>
        <x:v>2.1037934424044695</x:v>
      </x:c>
      <x:c r="J24" s="227" t="n">
        <x:f>'Comps'!M18</x:f>
        <x:v>4.231205790801649</x:v>
      </x:c>
      <x:c r="K24" s="228" t="n">
        <x:f>G24/J24-1</x:f>
        <x:v>3.905385481530102</x:v>
      </x:c>
      <x:c r="L24" s="224" t="str">
        <x:v>Large premium</x:v>
      </x:c>
    </x:row>
    <x:row r="25">
      <x:c r="A25" s="229" t="n">
        <x:v>24</x:v>
      </x:c>
      <x:c r="B25" s="230" t="n">
        <x:f>(A25*'Comps'!$Q$6*1000000+'Raw Data'!$G$6-'Raw Data'!$H$6)/('Raw Data'!$F$6/'Raw Data'!$E$6)</x:f>
        <x:v>308.3675245021675</x:v>
      </x:c>
      <x:c r="C25" s="231" t="n">
        <x:f>B25/'Raw Data'!$E$6-1</x:f>
        <x:v>0.15075390716187442</x:v>
      </x:c>
      <x:c r="D25" s="232" t="str">
        <x:v>Further re-rating</x:v>
      </x:c>
      <x:c r="E25" s="208"/>
      <x:c r="F25" s="232" t="str">
        <x:v>Equity / NTM FCF</x:v>
      </x:c>
      <x:c r="G25" s="233" t="n">
        <x:f>'Comps'!N6</x:f>
        <x:v>82.3667571072407</x:v>
      </x:c>
      <x:c r="H25" s="233" t="n">
        <x:f>'Comps'!N17</x:f>
        <x:v>25.68549633248555</x:v>
      </x:c>
      <x:c r="I25" s="234" t="n">
        <x:f>G25/H25-1</x:f>
        <x:v>2.2067418920407595</x:v>
      </x:c>
      <x:c r="J25" s="233" t="n">
        <x:f>'Comps'!N18</x:f>
        <x:v>20.492821529531973</x:v>
      </x:c>
      <x:c r="K25" s="234" t="n">
        <x:f>G25/J25-1</x:f>
        <x:v>3.019298025337453</x:v>
      </x:c>
      <x:c r="L25" s="232" t="str">
        <x:v>Large premium</x:v>
      </x:c>
    </x:row>
    <x:row r="26">
      <x:c r="A26" s="208"/>
      <x:c r="B26" s="208"/>
      <x:c r="C26" s="208"/>
      <x:c r="D26" s="208"/>
      <x:c r="E26" s="208"/>
      <x:c r="F26" s="208"/>
      <x:c r="G26" s="208"/>
      <x:c r="H26" s="208"/>
      <x:c r="I26" s="208"/>
      <x:c r="J26" s="208"/>
      <x:c r="K26" s="208"/>
      <x:c r="L26" s="208"/>
    </x:row>
    <x:row r="27">
      <x:c r="A27" s="208"/>
      <x:c r="B27" s="208"/>
      <x:c r="C27" s="208"/>
      <x:c r="D27" s="208"/>
      <x:c r="E27" s="208"/>
      <x:c r="F27" s="208"/>
      <x:c r="G27" s="208"/>
      <x:c r="H27" s="208"/>
      <x:c r="I27" s="208"/>
      <x:c r="J27" s="208"/>
      <x:c r="K27" s="208"/>
      <x:c r="L27" s="208"/>
    </x:row>
    <x:row r="28" ht="22" customHeight="1">
      <x:c r="A28" s="170" t="str">
        <x:v>EV / NTM Revenue ranking</x:v>
      </x:c>
      <x:c r="B28" s="170" t="str">
        <x:v>EV / NTM Revenue ranking</x:v>
      </x:c>
      <x:c r="C28" s="170" t="str">
        <x:v>EV / NTM Revenue ranking</x:v>
      </x:c>
      <x:c r="D28" s="170" t="str">
        <x:v>EV / NTM Revenue ranking</x:v>
      </x:c>
      <x:c r="E28" s="170" t="str">
        <x:v>EV / NTM Revenue ranking</x:v>
      </x:c>
      <x:c r="F28" s="170" t="str">
        <x:v>EV / NTM Revenue ranking</x:v>
      </x:c>
      <x:c r="G28" s="170" t="str">
        <x:v>EV / NTM Revenue ranking</x:v>
      </x:c>
      <x:c r="H28" s="170" t="str">
        <x:v>EV / NTM Revenue ranking</x:v>
      </x:c>
      <x:c r="I28" s="170" t="str">
        <x:v>EV / NTM Revenue ranking</x:v>
      </x:c>
      <x:c r="J28" s="170" t="str">
        <x:v>EV / NTM Revenue ranking</x:v>
      </x:c>
      <x:c r="K28" s="170" t="str">
        <x:v>EV / NTM Revenue ranking</x:v>
      </x:c>
      <x:c r="L28" s="170" t="str">
        <x:v>EV / NTM Revenue ranking</x:v>
      </x:c>
    </x:row>
    <x:row r="29" ht="34" customHeight="1">
      <x:c r="A29" s="187" t="str">
        <x:v>Company</x:v>
      </x:c>
      <x:c r="B29" s="187" t="str">
        <x:v>EV / NTM Revenue</x:v>
      </x:c>
      <x:c r="C29" s="208"/>
      <x:c r="D29" s="208"/>
      <x:c r="E29" s="208"/>
      <x:c r="F29" s="208"/>
      <x:c r="G29" s="208"/>
      <x:c r="H29" s="208"/>
      <x:c r="I29" s="208"/>
      <x:c r="J29" s="208"/>
      <x:c r="K29" s="208"/>
      <x:c r="L29" s="208"/>
    </x:row>
    <x:row r="30">
      <x:c r="A30" s="208" t="str">
        <x:f>'Comps'!B9</x:f>
        <x:v>Cloudflare</x:v>
      </x:c>
      <x:c r="B30" s="235" t="n">
        <x:f>'Comps'!M9</x:f>
        <x:v>32.65914628394652</x:v>
      </x:c>
      <x:c r="C30" s="208"/>
      <x:c r="D30" s="208"/>
      <x:c r="E30" s="208"/>
      <x:c r="F30" s="208"/>
      <x:c r="G30" s="208"/>
      <x:c r="H30" s="208"/>
      <x:c r="I30" s="208"/>
      <x:c r="J30" s="208"/>
      <x:c r="K30" s="208"/>
      <x:c r="L30" s="208"/>
    </x:row>
    <x:row r="31">
      <x:c r="A31" s="208" t="str">
        <x:f>'Comps'!B6</x:f>
        <x:v>Datadog</x:v>
      </x:c>
      <x:c r="B31" s="235" t="n">
        <x:f>'Comps'!M6</x:f>
        <x:v>20.755695455564503</x:v>
      </x:c>
      <x:c r="C31" s="208"/>
      <x:c r="D31" s="208"/>
      <x:c r="E31" s="208"/>
      <x:c r="F31" s="208"/>
      <x:c r="G31" s="208"/>
      <x:c r="H31" s="208"/>
      <x:c r="I31" s="208"/>
      <x:c r="J31" s="208"/>
      <x:c r="K31" s="208"/>
      <x:c r="L31" s="208"/>
    </x:row>
    <x:row r="32">
      <x:c r="A32" s="208" t="str">
        <x:f>'Comps'!B11</x:f>
        <x:v>Snowflake</x:v>
      </x:c>
      <x:c r="B32" s="235" t="n">
        <x:f>'Comps'!M11</x:f>
        <x:v>15.721104834094946</x:v>
      </x:c>
      <x:c r="C32" s="208"/>
      <x:c r="D32" s="208"/>
      <x:c r="E32" s="208"/>
      <x:c r="F32" s="208"/>
      <x:c r="G32" s="208"/>
      <x:c r="H32" s="208"/>
      <x:c r="I32" s="208"/>
      <x:c r="J32" s="208"/>
      <x:c r="K32" s="208"/>
      <x:c r="L32" s="208"/>
    </x:row>
    <x:row r="33">
      <x:c r="A33" s="208" t="str">
        <x:f>'Comps'!B10</x:f>
        <x:v>MongoDB</x:v>
      </x:c>
      <x:c r="B33" s="235" t="n">
        <x:f>'Comps'!M10</x:f>
        <x:v>8.122217117194472</x:v>
      </x:c>
      <x:c r="C33" s="208"/>
      <x:c r="D33" s="208"/>
      <x:c r="E33" s="208"/>
      <x:c r="F33" s="208"/>
      <x:c r="G33" s="208"/>
      <x:c r="H33" s="208"/>
      <x:c r="I33" s="208"/>
      <x:c r="J33" s="208"/>
      <x:c r="K33" s="208"/>
      <x:c r="L33" s="208"/>
    </x:row>
    <x:row r="34">
      <x:c r="A34" s="208" t="str">
        <x:f>'Comps'!B12</x:f>
        <x:v>CrowdStrike</x:v>
      </x:c>
      <x:c r="B34" s="235" t="n">
        <x:f>'Comps'!M12</x:f>
        <x:v>7.281805229436639</x:v>
      </x:c>
      <x:c r="C34" s="208"/>
      <x:c r="D34" s="208"/>
      <x:c r="E34" s="208"/>
      <x:c r="F34" s="208"/>
      <x:c r="G34" s="208"/>
      <x:c r="H34" s="208"/>
      <x:c r="I34" s="208"/>
      <x:c r="J34" s="208"/>
      <x:c r="K34" s="208"/>
      <x:c r="L34" s="208"/>
    </x:row>
    <x:row r="35">
      <x:c r="A35" s="208" t="str">
        <x:f>'Comps'!B13</x:f>
        <x:v>Zscaler</x:v>
      </x:c>
      <x:c r="B35" s="235" t="n">
        <x:f>'Comps'!M13</x:f>
        <x:v>6.092599891727177</x:v>
      </x:c>
      <x:c r="C35" s="208"/>
      <x:c r="D35" s="208"/>
      <x:c r="E35" s="208"/>
      <x:c r="F35" s="208"/>
      <x:c r="G35" s="208"/>
      <x:c r="H35" s="208"/>
      <x:c r="I35" s="208"/>
      <x:c r="J35" s="208"/>
      <x:c r="K35" s="208"/>
      <x:c r="L35" s="208"/>
    </x:row>
    <x:row r="36">
      <x:c r="A36" s="208" t="str">
        <x:f>'Comps'!B7</x:f>
        <x:v>Dynatrace</x:v>
      </x:c>
      <x:c r="B36" s="235" t="n">
        <x:f>'Comps'!M7</x:f>
        <x:v>5.349887752517583</x:v>
      </x:c>
      <x:c r="C36" s="208"/>
      <x:c r="D36" s="208"/>
      <x:c r="E36" s="208"/>
      <x:c r="F36" s="208"/>
      <x:c r="G36" s="208"/>
      <x:c r="H36" s="208"/>
      <x:c r="I36" s="208"/>
      <x:c r="J36" s="208"/>
      <x:c r="K36" s="208"/>
      <x:c r="L36" s="208"/>
    </x:row>
    <x:row r="37">
      <x:c r="A37" s="208" t="str">
        <x:f>'Comps'!B14</x:f>
        <x:v>GitLab</x:v>
      </x:c>
      <x:c r="B37" s="235" t="n">
        <x:f>'Comps'!M14</x:f>
        <x:v>3.858359180831588</x:v>
      </x:c>
      <x:c r="C37" s="208"/>
      <x:c r="D37" s="208"/>
      <x:c r="E37" s="208"/>
      <x:c r="F37" s="208"/>
      <x:c r="G37" s="208"/>
      <x:c r="H37" s="208"/>
      <x:c r="I37" s="208"/>
      <x:c r="J37" s="208"/>
      <x:c r="K37" s="208"/>
      <x:c r="L37" s="208"/>
    </x:row>
    <x:row r="38">
      <x:c r="A38" s="208" t="str">
        <x:f>'Comps'!B8</x:f>
        <x:v>Elastic</x:v>
      </x:c>
      <x:c r="B38" s="235" t="n">
        <x:f>'Comps'!M8</x:f>
        <x:v>3.1125238290857147</x:v>
      </x:c>
      <x:c r="C38" s="208"/>
      <x:c r="D38" s="208"/>
      <x:c r="E38" s="208"/>
      <x:c r="F38" s="208"/>
      <x:c r="G38" s="208"/>
      <x:c r="H38" s="208"/>
      <x:c r="I38" s="208"/>
      <x:c r="J38" s="208"/>
      <x:c r="K38" s="208"/>
      <x:c r="L38" s="208"/>
    </x:row>
  </x:sheetData>
  <x:mergeCells>
    <x:mergeCell ref="A1:L1"/>
    <x:mergeCell ref="A2:L2"/>
    <x:mergeCell ref="A4:L4"/>
    <x:mergeCell ref="A5:B5"/>
    <x:mergeCell ref="C5:D5"/>
    <x:mergeCell ref="E5:F5"/>
    <x:mergeCell ref="G5:H5"/>
    <x:mergeCell ref="I5:J5"/>
    <x:mergeCell ref="K5:L5"/>
    <x:mergeCell ref="A6:B6"/>
    <x:mergeCell ref="C6:D6"/>
    <x:mergeCell ref="E6:F6"/>
    <x:mergeCell ref="G6:H6"/>
    <x:mergeCell ref="I6:J6"/>
    <x:mergeCell ref="K6:L6"/>
    <x:mergeCell ref="A8:L10"/>
    <x:mergeCell ref="A12:F12"/>
    <x:mergeCell ref="G12:L12"/>
    <x:mergeCell ref="A13:F13"/>
    <x:mergeCell ref="G13:L13"/>
    <x:mergeCell ref="A14:F14"/>
    <x:mergeCell ref="G14:L14"/>
    <x:mergeCell ref="A15:F15"/>
    <x:mergeCell ref="G15:L15"/>
    <x:mergeCell ref="A16:F16"/>
    <x:mergeCell ref="G16:L16"/>
    <x:mergeCell ref="A17:F17"/>
    <x:mergeCell ref="G17:L17"/>
    <x:mergeCell ref="A19:D19"/>
    <x:mergeCell ref="F19:L19"/>
    <x:mergeCell ref="A28:L28"/>
  </x:mergeCells>
  <x:pageMargins left="0.7" right="0.7" top="0.75" bottom="0.75" header="0.3" footer="0.3"/>
  <x:drawing xmlns:r="http://schemas.openxmlformats.org/officeDocument/2006/relationships" r:id="R9fb05d3293184a7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</x:cols>
  <x:sheetData>
    <x:row r="1" ht="34" customHeight="1">
      <x:c r="A1" s="167" t="str">
        <x:v>Datadog vs peers — normalized operating and valuation screen</x:v>
      </x:c>
      <x:c r="B1" s="167" t="str">
        <x:v>Datadog vs peers — normalized operating and valuation screen</x:v>
      </x:c>
      <x:c r="C1" s="167" t="str">
        <x:v>Datadog vs peers — normalized operating and valuation screen</x:v>
      </x:c>
      <x:c r="D1" s="167" t="str">
        <x:v>Datadog vs peers — normalized operating and valuation screen</x:v>
      </x:c>
      <x:c r="E1" s="167" t="str">
        <x:v>Datadog vs peers — normalized operating and valuation screen</x:v>
      </x:c>
      <x:c r="F1" s="167" t="str">
        <x:v>Datadog vs peers — normalized operating and valuation screen</x:v>
      </x:c>
      <x:c r="G1" s="167" t="str">
        <x:v>Datadog vs peers — normalized operating and valuation screen</x:v>
      </x:c>
      <x:c r="H1" s="167" t="str">
        <x:v>Datadog vs peers — normalized operating and valuation screen</x:v>
      </x:c>
      <x:c r="I1" s="167" t="str">
        <x:v>Datadog vs peers — normalized operating and valuation screen</x:v>
      </x:c>
      <x:c r="J1" s="167" t="str">
        <x:v>Datadog vs peers — normalized operating and valuation screen</x:v>
      </x:c>
      <x:c r="K1" s="167" t="str">
        <x:v>Datadog vs peers — normalized operating and valuation screen</x:v>
      </x:c>
      <x:c r="L1" s="167" t="str">
        <x:v>Datadog vs peers — normalized operating and valuation screen</x:v>
      </x:c>
      <x:c r="M1" s="167" t="str">
        <x:v>Datadog vs peers — normalized operating and valuation screen</x:v>
      </x:c>
      <x:c r="N1" s="167" t="str">
        <x:v>Datadog vs peers — normalized operating and valuation screen</x:v>
      </x:c>
      <x:c r="O1" s="167" t="str">
        <x:v>Datadog vs peers — normalized operating and valuation screen</x:v>
      </x:c>
      <x:c r="P1" s="167" t="str">
        <x:v>Datadog vs peers — normalized operating and valuation screen</x:v>
      </x:c>
      <x:c r="Q1" s="167" t="str">
        <x:v>Datadog vs peers — normalized operating and valuation screen</x:v>
      </x:c>
      <x:c r="R1" s="167" t="str">
        <x:v>Datadog vs peers — normalized operating and valuation screen</x:v>
      </x:c>
      <x:c r="S1" s="167" t="str">
        <x:v>Datadog vs peers — normalized operating and valuation screen</x:v>
      </x:c>
    </x:row>
    <x:row r="2" ht="34" customHeight="1">
      <x:c r="A2" s="168" t="str">
        <x:v>Core comparison: LTM GAAP actuals + standardized FCF + calendarized NTM growth proxy. Equity value / NTM FCF is used because company FCF is levered; EV / FCF would mix capital structures.</x:v>
      </x:c>
      <x:c r="B2" s="168" t="str">
        <x:v>Core comparison: LTM GAAP actuals + standardized FCF + calendarized NTM growth proxy. Equity value / NTM FCF is used because company FCF is levered; EV / FCF would mix capital structures.</x:v>
      </x:c>
      <x:c r="C2" s="168" t="str">
        <x:v>Core comparison: LTM GAAP actuals + standardized FCF + calendarized NTM growth proxy. Equity value / NTM FCF is used because company FCF is levered; EV / FCF would mix capital structures.</x:v>
      </x:c>
      <x:c r="D2" s="168" t="str">
        <x:v>Core comparison: LTM GAAP actuals + standardized FCF + calendarized NTM growth proxy. Equity value / NTM FCF is used because company FCF is levered; EV / FCF would mix capital structures.</x:v>
      </x:c>
      <x:c r="E2" s="168" t="str">
        <x:v>Core comparison: LTM GAAP actuals + standardized FCF + calendarized NTM growth proxy. Equity value / NTM FCF is used because company FCF is levered; EV / FCF would mix capital structures.</x:v>
      </x:c>
      <x:c r="F2" s="168" t="str">
        <x:v>Core comparison: LTM GAAP actuals + standardized FCF + calendarized NTM growth proxy. Equity value / NTM FCF is used because company FCF is levered; EV / FCF would mix capital structures.</x:v>
      </x:c>
      <x:c r="G2" s="168" t="str">
        <x:v>Core comparison: LTM GAAP actuals + standardized FCF + calendarized NTM growth proxy. Equity value / NTM FCF is used because company FCF is levered; EV / FCF would mix capital structures.</x:v>
      </x:c>
      <x:c r="H2" s="168" t="str">
        <x:v>Core comparison: LTM GAAP actuals + standardized FCF + calendarized NTM growth proxy. Equity value / NTM FCF is used because company FCF is levered; EV / FCF would mix capital structures.</x:v>
      </x:c>
      <x:c r="I2" s="168" t="str">
        <x:v>Core comparison: LTM GAAP actuals + standardized FCF + calendarized NTM growth proxy. Equity value / NTM FCF is used because company FCF is levered; EV / FCF would mix capital structures.</x:v>
      </x:c>
      <x:c r="J2" s="168" t="str">
        <x:v>Core comparison: LTM GAAP actuals + standardized FCF + calendarized NTM growth proxy. Equity value / NTM FCF is used because company FCF is levered; EV / FCF would mix capital structures.</x:v>
      </x:c>
      <x:c r="K2" s="168" t="str">
        <x:v>Core comparison: LTM GAAP actuals + standardized FCF + calendarized NTM growth proxy. Equity value / NTM FCF is used because company FCF is levered; EV / FCF would mix capital structures.</x:v>
      </x:c>
      <x:c r="L2" s="168" t="str">
        <x:v>Core comparison: LTM GAAP actuals + standardized FCF + calendarized NTM growth proxy. Equity value / NTM FCF is used because company FCF is levered; EV / FCF would mix capital structures.</x:v>
      </x:c>
      <x:c r="M2" s="168" t="str">
        <x:v>Core comparison: LTM GAAP actuals + standardized FCF + calendarized NTM growth proxy. Equity value / NTM FCF is used because company FCF is levered; EV / FCF would mix capital structures.</x:v>
      </x:c>
      <x:c r="N2" s="168" t="str">
        <x:v>Core comparison: LTM GAAP actuals + standardized FCF + calendarized NTM growth proxy. Equity value / NTM FCF is used because company FCF is levered; EV / FCF would mix capital structures.</x:v>
      </x:c>
      <x:c r="O2" s="168" t="str">
        <x:v>Core comparison: LTM GAAP actuals + standardized FCF + calendarized NTM growth proxy. Equity value / NTM FCF is used because company FCF is levered; EV / FCF would mix capital structures.</x:v>
      </x:c>
      <x:c r="P2" s="168" t="str">
        <x:v>Core comparison: LTM GAAP actuals + standardized FCF + calendarized NTM growth proxy. Equity value / NTM FCF is used because company FCF is levered; EV / FCF would mix capital structures.</x:v>
      </x:c>
      <x:c r="Q2" s="168" t="str">
        <x:v>Core comparison: LTM GAAP actuals + standardized FCF + calendarized NTM growth proxy. Equity value / NTM FCF is used because company FCF is levered; EV / FCF would mix capital structures.</x:v>
      </x:c>
      <x:c r="R2" s="168" t="str">
        <x:v>Core comparison: LTM GAAP actuals + standardized FCF + calendarized NTM growth proxy. Equity value / NTM FCF is used because company FCF is levered; EV / FCF would mix capital structures.</x:v>
      </x:c>
      <x:c r="S2" s="168" t="str">
        <x:v>Core comparison: LTM GAAP actuals + standardized FCF + calendarized NTM growth proxy. Equity value / NTM FCF is used because company FCF is levered; EV / FCF would mix capital structures.</x:v>
      </x:c>
    </x:row>
    <x:row r="3" ht="28" customHeight="1">
      <x:c r="A3" s="262" t="str">
        <x:v>Interpretation: DT and ESTC are the closest business-model peers; all eight peers remain useful for financial quality and valuation context, but not as equally weighted product competitors.</x:v>
      </x:c>
      <x:c r="B3" s="262"/>
      <x:c r="C3" s="262"/>
      <x:c r="D3" s="262"/>
      <x:c r="E3" s="262"/>
      <x:c r="F3" s="262"/>
      <x:c r="G3" s="262"/>
      <x:c r="H3" s="262"/>
      <x:c r="I3" s="262"/>
      <x:c r="J3" s="262"/>
      <x:c r="K3" s="262"/>
      <x:c r="L3" s="262"/>
      <x:c r="M3" s="262"/>
      <x:c r="N3" s="262"/>
      <x:c r="O3" s="262"/>
      <x:c r="P3" s="262"/>
      <x:c r="Q3" s="262"/>
      <x:c r="R3" s="262"/>
      <x:c r="S3" s="262"/>
    </x:row>
    <x:row r="4">
      <x:c r="A4" s="208"/>
      <x:c r="B4" s="208"/>
      <x:c r="C4" s="208"/>
      <x:c r="D4" s="208"/>
      <x:c r="E4" s="208"/>
      <x:c r="F4" s="208"/>
      <x:c r="G4" s="208"/>
      <x:c r="H4" s="208"/>
      <x:c r="I4" s="208"/>
      <x:c r="J4" s="208"/>
      <x:c r="K4" s="208"/>
      <x:c r="L4" s="208"/>
      <x:c r="M4" s="208"/>
      <x:c r="N4" s="208"/>
      <x:c r="O4" s="208"/>
      <x:c r="P4" s="208"/>
      <x:c r="Q4" s="208"/>
      <x:c r="R4" s="208"/>
      <x:c r="S4" s="208"/>
    </x:row>
    <x:row r="5" ht="34" customHeight="1">
      <x:c r="A5" s="187" t="str">
        <x:v>Ticker</x:v>
      </x:c>
      <x:c r="B5" s="187" t="str">
        <x:v>Company</x:v>
      </x:c>
      <x:c r="C5" s="187" t="str">
        <x:v>Peer bucket</x:v>
      </x:c>
      <x:c r="D5" s="187" t="str">
        <x:v>Revenue growth LTM</x:v>
      </x:c>
      <x:c r="E5" s="187" t="str">
        <x:v>NTM growth proxy</x:v>
      </x:c>
      <x:c r="F5" s="187" t="str">
        <x:v>Gross margin</x:v>
      </x:c>
      <x:c r="G5" s="187" t="str">
        <x:v>GAAP op. margin</x:v>
      </x:c>
      <x:c r="H5" s="187" t="str">
        <x:v>Std. FCF margin</x:v>
      </x:c>
      <x:c r="I5" s="187" t="str">
        <x:v>Rule of 40</x:v>
      </x:c>
      <x:c r="J5" s="187" t="str">
        <x:v>SBC / revenue</x:v>
      </x:c>
      <x:c r="K5" s="187" t="str">
        <x:v>Basic-share dilution</x:v>
      </x:c>
      <x:c r="L5" s="187" t="str">
        <x:v>FCF – SBC margin</x:v>
      </x:c>
      <x:c r="M5" s="187" t="str">
        <x:v>EV / NTM Revenue</x:v>
      </x:c>
      <x:c r="N5" s="187" t="str">
        <x:v>Equity / NTM FCF</x:v>
      </x:c>
      <x:c r="O5" s="187" t="str">
        <x:v>NTM FCF yield</x:v>
      </x:c>
      <x:c r="P5" s="187" t="str">
        <x:v>LTM revenue ($m)</x:v>
      </x:c>
      <x:c r="Q5" s="187" t="str">
        <x:v>NTM revenue ($m)</x:v>
      </x:c>
      <x:c r="R5" s="187" t="str">
        <x:v>Market cap ($bn)</x:v>
      </x:c>
      <x:c r="S5" s="187" t="str">
        <x:v>EV ($bn)</x:v>
      </x:c>
    </x:row>
    <x:row r="6">
      <x:c r="A6" s="263" t="str">
        <x:f>'Raw Data'!A6</x:f>
        <x:v>DDOG</x:v>
      </x:c>
      <x:c r="B6" s="263" t="str">
        <x:f>'Raw Data'!B6</x:f>
        <x:v>Datadog</x:v>
      </x:c>
      <x:c r="C6" s="263" t="str">
        <x:f>'Raw Data'!C6</x:f>
        <x:v>Target</x:v>
      </x:c>
      <x:c r="D6" s="264" t="n">
        <x:f>'Raw Data'!I6/'Raw Data'!J6-1</x:f>
        <x:v>0.29544323223058133</x:v>
      </x:c>
      <x:c r="E6" s="264" t="n">
        <x:f>('Raw Data'!S6*'Raw Data'!U6+'Raw Data'!T6*(12-'Raw Data'!U6))/12</x:f>
        <x:v>0.2368</x:v>
      </x:c>
      <x:c r="F6" s="264" t="n">
        <x:f>'Raw Data'!K6/'Raw Data'!I6</x:f>
        <x:v>0.7988696173861277</x:v>
      </x:c>
      <x:c r="G6" s="264" t="n">
        <x:f>'Raw Data'!L6/'Raw Data'!I6</x:f>
        <x:v>-0.006706370398289121</x:v>
      </x:c>
      <x:c r="H6" s="264" t="n">
        <x:f>'Raw Data'!O6/'Raw Data'!I6</x:f>
        <x:v>0.26127693366423105</x:v>
      </x:c>
      <x:c r="I6" s="264" t="n">
        <x:f>D6+H6</x:f>
        <x:v>0.5567201658948124</x:v>
      </x:c>
      <x:c r="J6" s="264" t="n">
        <x:f>'Raw Data'!P6/'Raw Data'!I6</x:f>
        <x:v>0.2133007591711508</x:v>
      </x:c>
      <x:c r="K6" s="264" t="n">
        <x:f>'Raw Data'!Q6/'Raw Data'!R6-1</x:f>
        <x:v>0.029656336254761717</x:v>
      </x:c>
      <x:c r="L6" s="264" t="n">
        <x:f>('Raw Data'!O6-'Raw Data'!P6)/'Raw Data'!I6</x:f>
        <x:v>0.04797617449308026</x:v>
      </x:c>
      <x:c r="M6" s="265" t="n">
        <x:f>(('Raw Data'!F6+'Raw Data'!H6-'Raw Data'!G6)/('Raw Data'!I6*(1+E6)))</x:f>
        <x:v>20.755695455564503</x:v>
      </x:c>
      <x:c r="N6" s="265" t="n">
        <x:f>'Raw Data'!F6/(('Raw Data'!I6*(1+E6))*H6)</x:f>
        <x:v>82.3667571072407</x:v>
      </x:c>
      <x:c r="O6" s="264" t="n">
        <x:f>(('Raw Data'!I6*(1+E6))*H6)/'Raw Data'!F6</x:f>
        <x:v>0.012140820339667006</x:v>
      </x:c>
      <x:c r="P6" s="266" t="n">
        <x:f>'Raw Data'!I6/1000000</x:f>
        <x:v>3672.031</x:v>
      </x:c>
      <x:c r="Q6" s="266" t="n">
        <x:f>('Raw Data'!I6*(1+E6))/1000000</x:f>
        <x:v>4541.5679408000005</x:v>
      </x:c>
      <x:c r="R6" s="267" t="n">
        <x:f>'Raw Data'!F6/1000000000</x:f>
        <x:v>97.73696607</x:v>
      </x:c>
      <x:c r="S6" s="267" t="n">
        <x:f>('Raw Data'!F6+'Raw Data'!H6-'Raw Data'!G6)/1000000000</x:f>
        <x:v>94.26340107</x:v>
      </x:c>
    </x:row>
    <x:row r="7">
      <x:c r="A7" s="268" t="str">
        <x:f>'Raw Data'!A7</x:f>
        <x:v>DT</x:v>
      </x:c>
      <x:c r="B7" s="268" t="str">
        <x:f>'Raw Data'!B7</x:f>
        <x:v>Dynatrace</x:v>
      </x:c>
      <x:c r="C7" s="268" t="str">
        <x:f>'Raw Data'!C7</x:f>
        <x:v>Direct</x:v>
      </x:c>
      <x:c r="D7" s="269" t="n">
        <x:f>'Raw Data'!I7/'Raw Data'!J7-1</x:f>
        <x:v>0.18820698152627657</x:v>
      </x:c>
      <x:c r="E7" s="269" t="n">
        <x:f>('Raw Data'!S7*'Raw Data'!U7+'Raw Data'!T7*(12-'Raw Data'!U7))/12</x:f>
        <x:v>0.15133333333333335</x:v>
      </x:c>
      <x:c r="F7" s="269" t="n">
        <x:f>'Raw Data'!K7/'Raw Data'!I7</x:f>
        <x:v>0.8155933426047631</x:v>
      </x:c>
      <x:c r="G7" s="269" t="n">
        <x:f>'Raw Data'!L7/'Raw Data'!I7</x:f>
        <x:v>0.12157579294753681</x:v>
      </x:c>
      <x:c r="H7" s="269" t="n">
        <x:f>'Raw Data'!O7/'Raw Data'!I7</x:f>
        <x:v>0.26232977124803125</x:v>
      </x:c>
      <x:c r="I7" s="270" t="n">
        <x:f>D7+H7</x:f>
        <x:v>0.4505367527743078</x:v>
      </x:c>
      <x:c r="J7" s="269" t="n">
        <x:f>'Raw Data'!P7/'Raw Data'!I7</x:f>
        <x:v>0.14844824109548863</x:v>
      </x:c>
      <x:c r="K7" s="269" t="n">
        <x:f>'Raw Data'!Q7/'Raw Data'!R7-1</x:f>
        <x:v>-0.006335137806779967</x:v>
      </x:c>
      <x:c r="L7" s="269" t="n">
        <x:f>('Raw Data'!O7-'Raw Data'!P7)/'Raw Data'!I7</x:f>
        <x:v>0.1138815301525426</x:v>
      </x:c>
      <x:c r="M7" s="271" t="n">
        <x:f>(('Raw Data'!F7+'Raw Data'!H7-'Raw Data'!G7)/('Raw Data'!I7*(1+E7)))</x:f>
        <x:v>5.349887752517583</x:v>
      </x:c>
      <x:c r="N7" s="271" t="n">
        <x:f>'Raw Data'!F7/(('Raw Data'!I7*(1+E7))*H7)</x:f>
        <x:v>22.04689642842117</x:v>
      </x:c>
      <x:c r="O7" s="269" t="n">
        <x:f>(('Raw Data'!I7*(1+E7))*H7)/'Raw Data'!F7</x:f>
        <x:v>0.0453578581115334</x:v>
      </x:c>
      <x:c r="P7" s="272" t="n">
        <x:f>'Raw Data'!I7/1000000</x:f>
        <x:v>2018.387</x:v>
      </x:c>
      <x:c r="Q7" s="272" t="n">
        <x:f>('Raw Data'!I7*(1+E7))/1000000</x:f>
        <x:v>2323.8362326666665</x:v>
      </x:c>
      <x:c r="R7" s="273" t="n">
        <x:f>'Raw Data'!F7/1000000000</x:f>
        <x:v>13.44004</x:v>
      </x:c>
      <x:c r="S7" s="273" t="n">
        <x:f>('Raw Data'!F7+'Raw Data'!H7-'Raw Data'!G7)/1000000000</x:f>
        <x:v>12.432263</x:v>
      </x:c>
    </x:row>
    <x:row r="8">
      <x:c r="A8" s="268" t="str">
        <x:f>'Raw Data'!A8</x:f>
        <x:v>ESTC</x:v>
      </x:c>
      <x:c r="B8" s="268" t="str">
        <x:f>'Raw Data'!B8</x:f>
        <x:v>Elastic</x:v>
      </x:c>
      <x:c r="C8" s="268" t="str">
        <x:f>'Raw Data'!C8</x:f>
        <x:v>Direct</x:v>
      </x:c>
      <x:c r="D8" s="269" t="n">
        <x:f>'Raw Data'!I8/'Raw Data'!J8-1</x:f>
        <x:v>0.17261220956572387</x:v>
      </x:c>
      <x:c r="E8" s="269" t="n">
        <x:f>('Raw Data'!S8*'Raw Data'!U8+'Raw Data'!T8*(12-'Raw Data'!U8))/12</x:f>
        <x:v>0.146375</x:v>
      </x:c>
      <x:c r="F8" s="269" t="n">
        <x:f>'Raw Data'!K8/'Raw Data'!I8</x:f>
        <x:v>0.7606712005937916</x:v>
      </x:c>
      <x:c r="G8" s="269" t="n">
        <x:f>'Raw Data'!L8/'Raw Data'!I8</x:f>
        <x:v>-0.019246480399647912</x:v>
      </x:c>
      <x:c r="H8" s="269" t="n">
        <x:f>'Raw Data'!O8/'Raw Data'!I8</x:f>
        <x:v>0.18501481316667157</x:v>
      </x:c>
      <x:c r="I8" s="270" t="n">
        <x:f>D8+H8</x:f>
        <x:v>0.35762702273239544</x:v>
      </x:c>
      <x:c r="J8" s="269" t="n">
        <x:f>'Raw Data'!P8/'Raw Data'!I8</x:f>
        <x:v>0.1715803374975781</x:v>
      </x:c>
      <x:c r="K8" s="269" t="n">
        <x:f>'Raw Data'!Q8/'Raw Data'!R8-1</x:f>
        <x:v>-0.007885968816309763</x:v>
      </x:c>
      <x:c r="L8" s="269" t="n">
        <x:f>('Raw Data'!O8-'Raw Data'!P8)/'Raw Data'!I8</x:f>
        <x:v>0.013434475669093462</x:v>
      </x:c>
      <x:c r="M8" s="271" t="n">
        <x:f>(('Raw Data'!F8+'Raw Data'!H8-'Raw Data'!G8)/('Raw Data'!I8*(1+E8)))</x:f>
        <x:v>3.1125238290857147</x:v>
      </x:c>
      <x:c r="N8" s="271" t="n">
        <x:f>'Raw Data'!F8/(('Raw Data'!I8*(1+E8))*H8)</x:f>
        <x:v>18.93874663064278</x:v>
      </x:c>
      <x:c r="O8" s="269" t="n">
        <x:f>(('Raw Data'!I8*(1+E8))*H8)/'Raw Data'!F8</x:f>
        <x:v>0.052801804654908156</x:v>
      </x:c>
      <x:c r="P8" s="272" t="n">
        <x:f>'Raw Data'!I8/1000000</x:f>
        <x:v>1739.331</x:v>
      </x:c>
      <x:c r="Q8" s="272" t="n">
        <x:f>('Raw Data'!I8*(1+E8))/1000000</x:f>
        <x:v>1993.9255751249998</x:v>
      </x:c>
      <x:c r="R8" s="273" t="n">
        <x:f>'Raw Data'!F8/1000000000</x:f>
        <x:v>6.986612866</x:v>
      </x:c>
      <x:c r="S8" s="273" t="n">
        <x:f>('Raw Data'!F8+'Raw Data'!H8-'Raw Data'!G8)/1000000000</x:f>
        <x:v>6.206140866</x:v>
      </x:c>
    </x:row>
    <x:row r="9">
      <x:c r="A9" s="268" t="str">
        <x:f>'Raw Data'!A9</x:f>
        <x:v>NET</x:v>
      </x:c>
      <x:c r="B9" s="268" t="str">
        <x:f>'Raw Data'!B9</x:f>
        <x:v>Cloudflare</x:v>
      </x:c>
      <x:c r="C9" s="268" t="str">
        <x:f>'Raw Data'!C9</x:f>
        <x:v>Infra / edge</x:v>
      </x:c>
      <x:c r="D9" s="269" t="n">
        <x:f>'Raw Data'!I9/'Raw Data'!J9-1</x:f>
        <x:v>0.3155135468905623</x:v>
      </x:c>
      <x:c r="E9" s="269" t="n">
        <x:f>('Raw Data'!S9*'Raw Data'!U9+'Raw Data'!T9*(12-'Raw Data'!U9))/12</x:f>
        <x:v>0.28515</x:v>
      </x:c>
      <x:c r="F9" s="269" t="n">
        <x:f>'Raw Data'!K9/'Raw Data'!I9</x:f>
        <x:v>0.7332707779979859</x:v>
      </x:c>
      <x:c r="G9" s="269" t="n">
        <x:f>'Raw Data'!L9/'Raw Data'!I9</x:f>
        <x:v>-0.09273878566781399</x:v>
      </x:c>
      <x:c r="H9" s="269" t="n">
        <x:f>'Raw Data'!O9/'Raw Data'!I9</x:f>
        <x:v>0.12529776411198978</x:v>
      </x:c>
      <x:c r="I9" s="270" t="n">
        <x:f>D9+H9</x:f>
        <x:v>0.4408113110025521</x:v>
      </x:c>
      <x:c r="J9" s="269" t="n">
        <x:f>'Raw Data'!P9/'Raw Data'!I9</x:f>
        <x:v>0.20190629153506068</x:v>
      </x:c>
      <x:c r="K9" s="269" t="n">
        <x:f>'Raw Data'!Q9/'Raw Data'!R9-1</x:f>
        <x:v>0.01996395958614272</x:v>
      </x:c>
      <x:c r="L9" s="269" t="n">
        <x:f>('Raw Data'!O9-'Raw Data'!P9)/'Raw Data'!I9</x:f>
        <x:v>-0.0766085274230709</x:v>
      </x:c>
      <x:c r="M9" s="271" t="n">
        <x:f>(('Raw Data'!F9+'Raw Data'!H9-'Raw Data'!G9)/('Raw Data'!I9*(1+E9)))</x:f>
        <x:v>32.65914628394652</x:v>
      </x:c>
      <x:c r="N9" s="271" t="n">
        <x:f>'Raw Data'!F9/(('Raw Data'!I9*(1+E9))*H9)</x:f>
        <x:v>262.3573295068313</x:v>
      </x:c>
      <x:c r="O9" s="269" t="n">
        <x:f>(('Raw Data'!I9*(1+E9))*H9)/'Raw Data'!F9</x:f>
        <x:v>0.003811595436955238</x:v>
      </x:c>
      <x:c r="P9" s="272" t="n">
        <x:f>'Raw Data'!I9/1000000</x:f>
        <x:v>2328.605</x:v>
      </x:c>
      <x:c r="Q9" s="272" t="n">
        <x:f>('Raw Data'!I9*(1+E9))/1000000</x:f>
        <x:v>2992.60671575</x:v>
      </x:c>
      <x:c r="R9" s="273" t="n">
        <x:f>'Raw Data'!F9/1000000000</x:f>
        <x:v>98.3753225</x:v>
      </x:c>
      <x:c r="S9" s="273" t="n">
        <x:f>('Raw Data'!F9+'Raw Data'!H9-'Raw Data'!G9)/1000000000</x:f>
        <x:v>97.7359805</x:v>
      </x:c>
    </x:row>
    <x:row r="10">
      <x:c r="A10" s="268" t="str">
        <x:f>'Raw Data'!A10</x:f>
        <x:v>MDB</x:v>
      </x:c>
      <x:c r="B10" s="268" t="str">
        <x:f>'Raw Data'!B10</x:f>
        <x:v>MongoDB</x:v>
      </x:c>
      <x:c r="C10" s="268" t="str">
        <x:f>'Raw Data'!C10</x:f>
        <x:v>Consumption / data</x:v>
      </x:c>
      <x:c r="D10" s="269" t="n">
        <x:f>'Raw Data'!I10/'Raw Data'!J10-1</x:f>
        <x:v>0.23635514533734692</x:v>
      </x:c>
      <x:c r="E10" s="269" t="n">
        <x:f>('Raw Data'!S10*'Raw Data'!U10+'Raw Data'!T10*(12-'Raw Data'!U10))/12</x:f>
        <x:v>0.18915</x:v>
      </x:c>
      <x:c r="F10" s="269" t="n">
        <x:f>'Raw Data'!K10/'Raw Data'!I10</x:f>
        <x:v>0.7196978633945064</x:v>
      </x:c>
      <x:c r="G10" s="269" t="n">
        <x:f>'Raw Data'!L10/'Raw Data'!I10</x:f>
        <x:v>-0.04158393851211901</x:v>
      </x:c>
      <x:c r="H10" s="269" t="n">
        <x:f>'Raw Data'!O10/'Raw Data'!I10</x:f>
        <x:v>0.2271680860621296</x:v>
      </x:c>
      <x:c r="I10" s="270" t="n">
        <x:f>D10+H10</x:f>
        <x:v>0.4635232313994765</x:v>
      </x:c>
      <x:c r="J10" s="269" t="n">
        <x:f>'Raw Data'!P10/'Raw Data'!I10</x:f>
        <x:v>0.21359253519541008</x:v>
      </x:c>
      <x:c r="K10" s="269" t="n">
        <x:f>'Raw Data'!Q10/'Raw Data'!R10-1</x:f>
        <x:v>-0.008676497260291738</x:v>
      </x:c>
      <x:c r="L10" s="269" t="n">
        <x:f>('Raw Data'!O10-'Raw Data'!P10)/'Raw Data'!I10</x:f>
        <x:v>0.013575550866719516</x:v>
      </x:c>
      <x:c r="M10" s="271" t="n">
        <x:f>(('Raw Data'!F10+'Raw Data'!H10-'Raw Data'!G10)/('Raw Data'!I10*(1+E10)))</x:f>
        <x:v>8.122217117194472</x:v>
      </x:c>
      <x:c r="N10" s="271" t="n">
        <x:f>'Raw Data'!F10/(('Raw Data'!I10*(1+E10))*H10)</x:f>
        <x:v>39.163480628829866</x:v>
      </x:c>
      <x:c r="O10" s="269" t="n">
        <x:f>(('Raw Data'!I10*(1+E10))*H10)/'Raw Data'!F10</x:f>
        <x:v>0.025533991972711906</x:v>
      </x:c>
      <x:c r="P10" s="272" t="n">
        <x:f>'Raw Data'!I10/1000000</x:f>
        <x:v>2602.399</x:v>
      </x:c>
      <x:c r="Q10" s="272" t="n">
        <x:f>('Raw Data'!I10*(1+E10))/1000000</x:f>
        <x:v>3094.64277085</x:v>
      </x:c>
      <x:c r="R10" s="273" t="n">
        <x:f>'Raw Data'!F10/1000000000</x:f>
        <x:v>27.532086485</x:v>
      </x:c>
      <x:c r="S10" s="273" t="n">
        <x:f>('Raw Data'!F10+'Raw Data'!H10-'Raw Data'!G10)/1000000000</x:f>
        <x:v>25.135360485</x:v>
      </x:c>
    </x:row>
    <x:row r="11">
      <x:c r="A11" s="268" t="str">
        <x:f>'Raw Data'!A11</x:f>
        <x:v>SNOW</x:v>
      </x:c>
      <x:c r="B11" s="268" t="str">
        <x:f>'Raw Data'!B11</x:f>
        <x:v>Snowflake</x:v>
      </x:c>
      <x:c r="C11" s="268" t="str">
        <x:f>'Raw Data'!C11</x:f>
        <x:v>Consumption / data</x:v>
      </x:c>
      <x:c r="D11" s="269" t="n">
        <x:f>'Raw Data'!I11/'Raw Data'!J11-1</x:f>
        <x:v>0.3107125677874223</x:v>
      </x:c>
      <x:c r="E11" s="269" t="n">
        <x:f>('Raw Data'!S11*'Raw Data'!U11+'Raw Data'!T11*(12-'Raw Data'!U11))/12</x:f>
        <x:v>0.27795</x:v>
      </x:c>
      <x:c r="F11" s="269" t="n">
        <x:f>'Raw Data'!K11/'Raw Data'!I11</x:f>
        <x:v>0.6714529797690084</x:v>
      </x:c>
      <x:c r="G11" s="269" t="n">
        <x:f>'Raw Data'!L11/'Raw Data'!I11</x:f>
        <x:v>-0.261098393486121</x:v>
      </x:c>
      <x:c r="H11" s="269" t="n">
        <x:f>'Raw Data'!O11/'Raw Data'!I11</x:f>
        <x:v>0.23179853533494024</x:v>
      </x:c>
      <x:c r="I11" s="270" t="n">
        <x:f>D11+H11</x:f>
        <x:v>0.5425111031223625</x:v>
      </x:c>
      <x:c r="J11" s="269" t="n">
        <x:f>'Raw Data'!P11/'Raw Data'!I11</x:f>
        <x:v>0.3223950057452845</x:v>
      </x:c>
      <x:c r="K11" s="269" t="n">
        <x:f>'Raw Data'!Q11/'Raw Data'!R11-1</x:f>
        <x:v>0.0382796694493126</x:v>
      </x:c>
      <x:c r="L11" s="269" t="n">
        <x:f>('Raw Data'!O11-'Raw Data'!P11)/'Raw Data'!I11</x:f>
        <x:v>-0.09059647041034426</x:v>
      </x:c>
      <x:c r="M11" s="271" t="n">
        <x:f>(('Raw Data'!F11+'Raw Data'!H11-'Raw Data'!G11)/('Raw Data'!I11*(1+E11)))</x:f>
        <x:v>15.721104834094946</x:v>
      </x:c>
      <x:c r="N11" s="271" t="n">
        <x:f>'Raw Data'!F11/(('Raw Data'!I11*(1+E11))*H11)</x:f>
        <x:v>67.94496162983168</x:v>
      </x:c>
      <x:c r="O11" s="269" t="n">
        <x:f>(('Raw Data'!I11*(1+E11))*H11)/'Raw Data'!F11</x:f>
        <x:v>0.014717794756409774</x:v>
      </x:c>
      <x:c r="P11" s="272" t="n">
        <x:f>'Raw Data'!I11/1000000</x:f>
        <x:v>5032.823</x:v>
      </x:c>
      <x:c r="Q11" s="272" t="n">
        <x:f>('Raw Data'!I11*(1+E11))/1000000</x:f>
        <x:v>6431.69615285</x:v>
      </x:c>
      <x:c r="R11" s="273" t="n">
        <x:f>'Raw Data'!F11/1000000000</x:f>
        <x:v>101.29627248</x:v>
      </x:c>
      <x:c r="S11" s="273" t="n">
        <x:f>('Raw Data'!F11+'Raw Data'!H11-'Raw Data'!G11)/1000000000</x:f>
        <x:v>101.11336948</x:v>
      </x:c>
    </x:row>
    <x:row r="12">
      <x:c r="A12" s="268" t="str">
        <x:f>'Raw Data'!A12</x:f>
        <x:v>CRWD</x:v>
      </x:c>
      <x:c r="B12" s="268" t="str">
        <x:f>'Raw Data'!B12</x:f>
        <x:v>CrowdStrike</x:v>
      </x:c>
      <x:c r="C12" s="268" t="str">
        <x:f>'Raw Data'!C12</x:f>
        <x:v>Security platform</x:v>
      </x:c>
      <x:c r="D12" s="269" t="n">
        <x:f>'Raw Data'!I12/'Raw Data'!J12-1</x:f>
        <x:v>0.231666562702036</x:v>
      </x:c>
      <x:c r="E12" s="269" t="n">
        <x:f>('Raw Data'!S12*'Raw Data'!U12+'Raw Data'!T12*(12-'Raw Data'!U12))/12</x:f>
        <x:v>0.22624999999999998</x:v>
      </x:c>
      <x:c r="F12" s="269" t="n">
        <x:f>'Raw Data'!K12/'Raw Data'!I12</x:f>
        <x:v>0.7494644890267362</x:v>
      </x:c>
      <x:c r="G12" s="269" t="n">
        <x:f>'Raw Data'!L12/'Raw Data'!I12</x:f>
        <x:v>-0.04317105728082918</x:v>
      </x:c>
      <x:c r="H12" s="269" t="n">
        <x:f>'Raw Data'!O12/'Raw Data'!I12</x:f>
        <x:v>0.28096914137646734</x:v>
      </x:c>
      <x:c r="I12" s="270" t="n">
        <x:f>D12+H12</x:f>
        <x:v>0.5126357040785033</x:v>
      </x:c>
      <x:c r="J12" s="269" t="n">
        <x:f>'Raw Data'!P12/'Raw Data'!I12</x:f>
        <x:v>0.22510325468179498</x:v>
      </x:c>
      <x:c r="K12" s="269" t="n">
        <x:f>'Raw Data'!Q12/'Raw Data'!R12-1</x:f>
        <x:v>0.021333805628904523</x:v>
      </x:c>
      <x:c r="L12" s="269" t="n">
        <x:f>('Raw Data'!O12-'Raw Data'!P12)/'Raw Data'!I12</x:f>
        <x:v>0.05586588669467237</x:v>
      </x:c>
      <x:c r="M12" s="271" t="n">
        <x:f>(('Raw Data'!F12+'Raw Data'!H12-'Raw Data'!G12)/('Raw Data'!I12*(1+E12)))</x:f>
        <x:v>7.281805229436639</x:v>
      </x:c>
      <x:c r="N12" s="271" t="n">
        <x:f>'Raw Data'!F12/(('Raw Data'!I12*(1+E12))*H12)</x:f>
        <x:v>28.042751849726418</x:v>
      </x:c>
      <x:c r="O12" s="269" t="n">
        <x:f>(('Raw Data'!I12*(1+E12))*H12)/'Raw Data'!F12</x:f>
        <x:v>0.03565983842665412</x:v>
      </x:c>
      <x:c r="P12" s="272" t="n">
        <x:f>'Raw Data'!I12/1000000</x:f>
        <x:v>5094.2</x:v>
      </x:c>
      <x:c r="Q12" s="272" t="n">
        <x:f>('Raw Data'!I12*(1+E12))/1000000</x:f>
        <x:v>6246.76275</x:v>
      </x:c>
      <x:c r="R12" s="273" t="n">
        <x:f>'Raw Data'!F12/1000000000</x:f>
        <x:v>49.21916766</x:v>
      </x:c>
      <x:c r="S12" s="273" t="n">
        <x:f>('Raw Data'!F12+'Raw Data'!H12-'Raw Data'!G12)/1000000000</x:f>
        <x:v>45.48770966</x:v>
      </x:c>
    </x:row>
    <x:row r="13">
      <x:c r="A13" s="268" t="str">
        <x:f>'Raw Data'!A13</x:f>
        <x:v>ZS</x:v>
      </x:c>
      <x:c r="B13" s="268" t="str">
        <x:f>'Raw Data'!B13</x:f>
        <x:v>Zscaler</x:v>
      </x:c>
      <x:c r="C13" s="268" t="str">
        <x:f>'Raw Data'!C13</x:f>
        <x:v>Security platform</x:v>
      </x:c>
      <x:c r="D13" s="269" t="n">
        <x:f>'Raw Data'!I13/'Raw Data'!J13-1</x:f>
        <x:v>0.24611967298018622</x:v>
      </x:c>
      <x:c r="E13" s="269" t="n">
        <x:f>('Raw Data'!S13*'Raw Data'!U13+'Raw Data'!T13*(12-'Raw Data'!U13))/12</x:f>
        <x:v>0.1702</x:v>
      </x:c>
      <x:c r="F13" s="269" t="n">
        <x:f>'Raw Data'!K13/'Raw Data'!I13</x:f>
        <x:v>0.7665385037138057</x:v>
      </x:c>
      <x:c r="G13" s="269" t="n">
        <x:f>'Raw Data'!L13/'Raw Data'!I13</x:f>
        <x:v>-0.04727082863304474</x:v>
      </x:c>
      <x:c r="H13" s="269" t="n">
        <x:f>'Raw Data'!O13/'Raw Data'!I13</x:f>
        <x:v>0.2805363307625118</x:v>
      </x:c>
      <x:c r="I13" s="270" t="n">
        <x:f>D13+H13</x:f>
        <x:v>0.5266560037426979</x:v>
      </x:c>
      <x:c r="J13" s="269" t="n">
        <x:f>'Raw Data'!P13/'Raw Data'!I13</x:f>
        <x:v>0.24672135176728752</x:v>
      </x:c>
      <x:c r="K13" s="269" t="n">
        <x:f>'Raw Data'!Q13/'Raw Data'!R13-1</x:f>
        <x:v>0.037647909417787284</x:v>
      </x:c>
      <x:c r="L13" s="269" t="n">
        <x:f>('Raw Data'!O13-'Raw Data'!P13)/'Raw Data'!I13</x:f>
        <x:v>0.033814978995224294</x:v>
      </x:c>
      <x:c r="M13" s="271" t="n">
        <x:f>(('Raw Data'!F13+'Raw Data'!H13-'Raw Data'!G13)/('Raw Data'!I13*(1+E13)))</x:f>
        <x:v>6.092599891727177</x:v>
      </x:c>
      <x:c r="N13" s="271" t="n">
        <x:f>'Raw Data'!F13/(('Raw Data'!I13*(1+E13))*H13)</x:f>
        <x:v>23.328240815244683</x:v>
      </x:c>
      <x:c r="O13" s="269" t="n">
        <x:f>(('Raw Data'!I13*(1+E13))*H13)/'Raw Data'!F13</x:f>
        <x:v>0.042866498503672586</x:v>
      </x:c>
      <x:c r="P13" s="272" t="n">
        <x:f>'Raw Data'!I13/1000000</x:f>
        <x:v>3173.564</x:v>
      </x:c>
      <x:c r="Q13" s="272" t="n">
        <x:f>('Raw Data'!I13*(1+E13))/1000000</x:f>
        <x:v>3713.7045928</x:v>
      </x:c>
      <x:c r="R13" s="273" t="n">
        <x:f>'Raw Data'!F13/1000000000</x:f>
        <x:v>24.3040392</x:v>
      </x:c>
      <x:c r="S13" s="273" t="n">
        <x:f>('Raw Data'!F13+'Raw Data'!H13-'Raw Data'!G13)/1000000000</x:f>
        <x:v>22.6261162</x:v>
      </x:c>
    </x:row>
    <x:row r="14">
      <x:c r="A14" s="274" t="str">
        <x:f>'Raw Data'!A14</x:f>
        <x:v>GTLB</x:v>
      </x:c>
      <x:c r="B14" s="274" t="str">
        <x:f>'Raw Data'!B14</x:f>
        <x:v>GitLab</x:v>
      </x:c>
      <x:c r="C14" s="274" t="str">
        <x:f>'Raw Data'!C14</x:f>
        <x:v>Developer platform</x:v>
      </x:c>
      <x:c r="D14" s="275" t="n">
        <x:f>'Raw Data'!I14/'Raw Data'!J14-1</x:f>
        <x:v>0.24895503317917256</x:v>
      </x:c>
      <x:c r="E14" s="275" t="n">
        <x:f>('Raw Data'!S14*'Raw Data'!U14+'Raw Data'!T14*(12-'Raw Data'!U14))/12</x:f>
        <x:v>0.16255</x:v>
      </x:c>
      <x:c r="F14" s="275" t="n">
        <x:f>'Raw Data'!K14/'Raw Data'!I14</x:f>
        <x:v>0.8674499165566196</x:v>
      </x:c>
      <x:c r="G14" s="275" t="n">
        <x:f>'Raw Data'!L14/'Raw Data'!I14</x:f>
        <x:v>-0.0513696755709428</x:v>
      </x:c>
      <x:c r="H14" s="275" t="n">
        <x:f>'Raw Data'!O14/'Raw Data'!I14</x:f>
        <x:v>0.2621654676760148</x:v>
      </x:c>
      <x:c r="I14" s="276" t="n">
        <x:f>D14+H14</x:f>
        <x:v>0.5111205008551873</x:v>
      </x:c>
      <x:c r="J14" s="275" t="n">
        <x:f>'Raw Data'!P14/'Raw Data'!I14</x:f>
        <x:v>0.20817058474055924</x:v>
      </x:c>
      <x:c r="K14" s="275" t="n">
        <x:f>'Raw Data'!Q14/'Raw Data'!R14-1</x:f>
        <x:v>0.03317506732891151</x:v>
      </x:c>
      <x:c r="L14" s="275" t="n">
        <x:f>('Raw Data'!O14-'Raw Data'!P14)/'Raw Data'!I14</x:f>
        <x:v>0.053994882935455527</x:v>
      </x:c>
      <x:c r="M14" s="277" t="n">
        <x:f>(('Raw Data'!F14+'Raw Data'!H14-'Raw Data'!G14)/('Raw Data'!I14*(1+E14)))</x:f>
        <x:v>3.858359180831588</x:v>
      </x:c>
      <x:c r="N14" s="277" t="n">
        <x:f>'Raw Data'!F14/(('Raw Data'!I14*(1+E14))*H14)</x:f>
        <x:v>19.14973257760079</x:v>
      </x:c>
      <x:c r="O14" s="275" t="n">
        <x:f>(('Raw Data'!I14*(1+E14))*H14)/'Raw Data'!F14</x:f>
        <x:v>0.05222005038178381</x:v>
      </x:c>
      <x:c r="P14" s="278" t="n">
        <x:f>'Raw Data'!I14/1000000</x:f>
        <x:v>1004.873</x:v>
      </x:c>
      <x:c r="Q14" s="278" t="n">
        <x:f>('Raw Data'!I14*(1+E14))/1000000</x:f>
        <x:v>1168.2151061499999</x:v>
      </x:c>
      <x:c r="R14" s="279" t="n">
        <x:f>'Raw Data'!F14/1000000000</x:f>
        <x:v>5.86490548</x:v>
      </x:c>
      <x:c r="S14" s="279" t="n">
        <x:f>('Raw Data'!F14+'Raw Data'!H14-'Raw Data'!G14)/1000000000</x:f>
        <x:v>4.50739348</x:v>
      </x:c>
    </x:row>
    <x:row r="15">
      <x:c r="A15" s="208"/>
      <x:c r="B15" s="208"/>
      <x:c r="C15" s="208"/>
      <x:c r="D15" s="208"/>
      <x:c r="E15" s="208"/>
      <x:c r="F15" s="208"/>
      <x:c r="G15" s="208"/>
      <x:c r="H15" s="208"/>
      <x:c r="I15" s="208"/>
      <x:c r="J15" s="208"/>
      <x:c r="K15" s="208"/>
      <x:c r="L15" s="208"/>
      <x:c r="M15" s="208"/>
      <x:c r="N15" s="208"/>
      <x:c r="O15" s="208"/>
      <x:c r="P15" s="208"/>
      <x:c r="Q15" s="208"/>
      <x:c r="R15" s="208"/>
      <x:c r="S15" s="208"/>
    </x:row>
    <x:row r="16">
      <x:c r="A16" s="208"/>
      <x:c r="B16" s="208"/>
      <x:c r="C16" s="208"/>
      <x:c r="D16" s="208"/>
      <x:c r="E16" s="208"/>
      <x:c r="F16" s="208"/>
      <x:c r="G16" s="208"/>
      <x:c r="H16" s="208"/>
      <x:c r="I16" s="208"/>
      <x:c r="J16" s="208"/>
      <x:c r="K16" s="208"/>
      <x:c r="L16" s="208"/>
      <x:c r="M16" s="208"/>
      <x:c r="N16" s="208"/>
      <x:c r="O16" s="208"/>
      <x:c r="P16" s="208"/>
      <x:c r="Q16" s="208"/>
      <x:c r="R16" s="208"/>
      <x:c r="S16" s="208"/>
    </x:row>
    <x:row r="17">
      <x:c r="A17" s="280" t="str">
        <x:v>Broad median</x:v>
      </x:c>
      <x:c r="B17" s="280" t="str">
        <x:v>8 peers ex-DDOG</x:v>
      </x:c>
      <x:c r="C17" s="280" t="str">
        <x:v>Financial context</x:v>
      </x:c>
      <x:c r="D17" s="281" t="n">
        <x:f>MEDIAN(D7:D14)</x:f>
        <x:v>0.24123740915876657</x:v>
      </x:c>
      <x:c r="E17" s="281" t="n">
        <x:f>MEDIAN(E7:E14)</x:f>
        <x:v>0.179675</x:v>
      </x:c>
      <x:c r="F17" s="281" t="n">
        <x:f>MEDIAN(F7:F14)</x:f>
        <x:v>0.7550678448102639</x:v>
      </x:c>
      <x:c r="G17" s="281" t="n">
        <x:f>MEDIAN(G7:G14)</x:f>
        <x:v>-0.04522094295693696</x:v>
      </x:c>
      <x:c r="H17" s="281" t="n">
        <x:f>MEDIAN(H7:H14)</x:f>
        <x:v>0.2469820015054775</x:v>
      </x:c>
      <x:c r="I17" s="281" t="n">
        <x:f>MEDIAN(I7:I14)</x:f>
        <x:v>0.4873218661273319</x:v>
      </x:c>
      <x:c r="J17" s="281" t="n">
        <x:f>MEDIAN(J7:J14)</x:f>
        <x:v>0.21088155996798466</x:v>
      </x:c>
      <x:c r="K17" s="281" t="n">
        <x:f>MEDIAN(K7:K14)</x:f>
        <x:v>0.020648882607523622</x:v>
      </x:c>
      <x:c r="L17" s="281" t="n">
        <x:f>MEDIAN(L7:L14)</x:f>
        <x:v>0.023695264930971904</x:v>
      </x:c>
      <x:c r="M17" s="282" t="n">
        <x:f>MEDIAN(M7:M14)</x:f>
        <x:v>6.687202560581908</x:v>
      </x:c>
      <x:c r="N17" s="282" t="n">
        <x:f>MEDIAN(N7:N14)</x:f>
        <x:v>25.68549633248555</x:v>
      </x:c>
      <x:c r="O17" s="281" t="n">
        <x:f>MEDIAN(O7:O14)</x:f>
        <x:v>0.03926316846516335</x:v>
      </x:c>
      <x:c r="P17" s="280"/>
      <x:c r="Q17" s="280"/>
      <x:c r="R17" s="280"/>
      <x:c r="S17" s="280"/>
    </x:row>
    <x:row r="18">
      <x:c r="A18" s="283" t="str">
        <x:v>Direct median</x:v>
      </x:c>
      <x:c r="B18" s="283" t="str">
        <x:v>DT + ESTC</x:v>
      </x:c>
      <x:c r="C18" s="283" t="str">
        <x:v>Closest product peers</x:v>
      </x:c>
      <x:c r="D18" s="284" t="n">
        <x:f>AVERAGE(D7:D8)</x:f>
        <x:v>0.18040959554600022</x:v>
      </x:c>
      <x:c r="E18" s="284" t="n">
        <x:f>AVERAGE(E7:E8)</x:f>
        <x:v>0.14885416666666668</x:v>
      </x:c>
      <x:c r="F18" s="284" t="n">
        <x:f>AVERAGE(F7:F8)</x:f>
        <x:v>0.7881322715992773</x:v>
      </x:c>
      <x:c r="G18" s="284" t="n">
        <x:f>AVERAGE(G7:G8)</x:f>
        <x:v>0.05116465627394445</x:v>
      </x:c>
      <x:c r="H18" s="284" t="n">
        <x:f>AVERAGE(H7:H8)</x:f>
        <x:v>0.2236722922073514</x:v>
      </x:c>
      <x:c r="I18" s="284" t="n">
        <x:f>AVERAGE(I7:I8)</x:f>
        <x:v>0.40408188775335163</x:v>
      </x:c>
      <x:c r="J18" s="284" t="n">
        <x:f>AVERAGE(J7:J8)</x:f>
        <x:v>0.16001428929653336</x:v>
      </x:c>
      <x:c r="K18" s="284" t="n">
        <x:f>AVERAGE(K7:K8)</x:f>
        <x:v>-0.007110553311544865</x:v>
      </x:c>
      <x:c r="L18" s="284" t="n">
        <x:f>AVERAGE(L7:L8)</x:f>
        <x:v>0.06365800291081802</x:v>
      </x:c>
      <x:c r="M18" s="285" t="n">
        <x:f>AVERAGE(M7:M8)</x:f>
        <x:v>4.231205790801649</x:v>
      </x:c>
      <x:c r="N18" s="285" t="n">
        <x:f>AVERAGE(N7:N8)</x:f>
        <x:v>20.492821529531973</x:v>
      </x:c>
      <x:c r="O18" s="284" t="n">
        <x:f>AVERAGE(O7:O8)</x:f>
        <x:v>0.04907983138322078</x:v>
      </x:c>
      <x:c r="P18" s="283"/>
      <x:c r="Q18" s="283"/>
      <x:c r="R18" s="283"/>
      <x:c r="S18" s="283"/>
    </x:row>
    <x:row r="19">
      <x:c r="A19" s="286" t="str">
        <x:v>DDOG premium</x:v>
      </x:c>
      <x:c r="B19" s="286" t="str">
        <x:v>vs broad median</x:v>
      </x:c>
      <x:c r="C19" s="286" t="str">
        <x:v>Valuation premium</x:v>
      </x:c>
      <x:c r="D19" s="286"/>
      <x:c r="E19" s="286"/>
      <x:c r="F19" s="286"/>
      <x:c r="G19" s="286"/>
      <x:c r="H19" s="286"/>
      <x:c r="I19" s="286"/>
      <x:c r="J19" s="286"/>
      <x:c r="K19" s="286"/>
      <x:c r="L19" s="286"/>
      <x:c r="M19" s="287" t="n">
        <x:f>M6/M17-1</x:f>
        <x:v>2.1037934424044695</x:v>
      </x:c>
      <x:c r="N19" s="287" t="n">
        <x:f>N6/N17-1</x:f>
        <x:v>2.2067418920407595</x:v>
      </x:c>
      <x:c r="O19" s="286"/>
      <x:c r="P19" s="286"/>
      <x:c r="Q19" s="286"/>
      <x:c r="R19" s="286"/>
      <x:c r="S19" s="286"/>
    </x:row>
    <x:row r="20">
      <x:c r="A20" s="286" t="str">
        <x:v>DDOG premium</x:v>
      </x:c>
      <x:c r="B20" s="286" t="str">
        <x:v>vs direct median</x:v>
      </x:c>
      <x:c r="C20" s="286" t="str">
        <x:v>Valuation premium</x:v>
      </x:c>
      <x:c r="D20" s="286"/>
      <x:c r="E20" s="286"/>
      <x:c r="F20" s="286"/>
      <x:c r="G20" s="286"/>
      <x:c r="H20" s="286"/>
      <x:c r="I20" s="286"/>
      <x:c r="J20" s="286"/>
      <x:c r="K20" s="286"/>
      <x:c r="L20" s="286"/>
      <x:c r="M20" s="287" t="n">
        <x:f>M6/M18-1</x:f>
        <x:v>3.905385481530102</x:v>
      </x:c>
      <x:c r="N20" s="287" t="n">
        <x:f>N6/N18-1</x:f>
        <x:v>3.019298025337453</x:v>
      </x:c>
      <x:c r="O20" s="286"/>
      <x:c r="P20" s="286"/>
      <x:c r="Q20" s="286"/>
      <x:c r="R20" s="286"/>
      <x:c r="S20" s="286"/>
    </x:row>
  </x:sheetData>
  <x:mergeCells>
    <x:mergeCell ref="A1:S1"/>
    <x:mergeCell ref="A2:S2"/>
    <x:mergeCell ref="A3:S3"/>
  </x:mergeCells>
  <x:conditionalFormatting sqref="D6:I14">
    <x:cfRule type="colorScale" priority="1">
      <x:colorScale>
        <x:cfvo type="min"/>
        <x:cfvo type="percentile" val="50"/>
        <x:cfvo type="max"/>
        <x:color rgb="FFFDECEC"/>
        <x:color rgb="FFFFF4D6"/>
        <x:color rgb="FFE7F6EE"/>
      </x:colorScale>
    </x:cfRule>
  </x:conditionalFormatting>
  <x:conditionalFormatting sqref="J6:K14">
    <x:cfRule type="colorScale" priority="2">
      <x:colorScale>
        <x:cfvo type="min"/>
        <x:cfvo type="percentile" val="50"/>
        <x:cfvo type="max"/>
        <x:color rgb="FFE7F6EE"/>
        <x:color rgb="FFFFF4D6"/>
        <x:color rgb="FFFDECEC"/>
      </x:colorScale>
    </x:cfRule>
  </x:conditionalFormatting>
  <x:conditionalFormatting sqref="M6:N14">
    <x:cfRule type="colorScale" priority="3">
      <x:colorScale>
        <x:cfvo type="min"/>
        <x:cfvo type="percentile" val="50"/>
        <x:cfvo type="max"/>
        <x:color rgb="FFE7F6EE"/>
        <x:color rgb="FFFFF4D6"/>
        <x:color rgb="FFFDECEC"/>
      </x:colorScale>
    </x:cfRule>
  </x:conditionalFormatting>
  <x:conditionalFormatting sqref="L6:L14">
    <x:cfRule type="cellIs" dxfId="0" priority="4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1" hidden="0" customWidth="1"/>
    <x:col min="4" max="4" width="1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 ht="34" customHeight="1">
      <x:c r="A1" s="167" t="str">
        <x:v>Datadog peer comps — source inputs</x:v>
      </x:c>
      <x:c r="B1" s="167" t="str">
        <x:v>Datadog peer comps — source inputs</x:v>
      </x:c>
      <x:c r="C1" s="167" t="str">
        <x:v>Datadog peer comps — source inputs</x:v>
      </x:c>
      <x:c r="D1" s="167" t="str">
        <x:v>Datadog peer comps — source inputs</x:v>
      </x:c>
      <x:c r="E1" s="167" t="str">
        <x:v>Datadog peer comps — source inputs</x:v>
      </x:c>
      <x:c r="F1" s="167" t="str">
        <x:v>Datadog peer comps — source inputs</x:v>
      </x:c>
      <x:c r="G1" s="167" t="str">
        <x:v>Datadog peer comps — source inputs</x:v>
      </x:c>
      <x:c r="H1" s="167" t="str">
        <x:v>Datadog peer comps — source inputs</x:v>
      </x:c>
      <x:c r="I1" s="167" t="str">
        <x:v>Datadog peer comps — source inputs</x:v>
      </x:c>
      <x:c r="J1" s="167" t="str">
        <x:v>Datadog peer comps — source inputs</x:v>
      </x:c>
      <x:c r="K1" s="167" t="str">
        <x:v>Datadog peer comps — source inputs</x:v>
      </x:c>
      <x:c r="L1" s="167" t="str">
        <x:v>Datadog peer comps — source inputs</x:v>
      </x:c>
      <x:c r="M1" s="167" t="str">
        <x:v>Datadog peer comps — source inputs</x:v>
      </x:c>
      <x:c r="N1" s="167" t="str">
        <x:v>Datadog peer comps — source inputs</x:v>
      </x:c>
      <x:c r="O1" s="167" t="str">
        <x:v>Datadog peer comps — source inputs</x:v>
      </x:c>
      <x:c r="P1" s="167" t="str">
        <x:v>Datadog peer comps — source inputs</x:v>
      </x:c>
      <x:c r="Q1" s="167" t="str">
        <x:v>Datadog peer comps — source inputs</x:v>
      </x:c>
      <x:c r="R1" s="167" t="str">
        <x:v>Datadog peer comps — source inputs</x:v>
      </x:c>
      <x:c r="S1" s="167" t="str">
        <x:v>Datadog peer comps — source inputs</x:v>
      </x:c>
      <x:c r="T1" s="167" t="str">
        <x:v>Datadog peer comps — source inputs</x:v>
      </x:c>
      <x:c r="U1" s="167" t="str">
        <x:v>Datadog peer comps — source inputs</x:v>
      </x:c>
      <x:c r="V1" s="167" t="str">
        <x:v>Datadog peer comps — source inputs</x:v>
      </x:c>
      <x:c r="W1" s="167" t="str">
        <x:v>Datadog peer comps — source inputs</x:v>
      </x:c>
      <x:c r="X1" s="167" t="str">
        <x:v>Datadog peer comps — source inputs</x:v>
      </x:c>
      <x:c r="Y1" s="167" t="str">
        <x:v>Datadog peer comps — source inputs</x:v>
      </x:c>
    </x:row>
    <x:row r="2" ht="34" customHeight="1">
      <x:c r="A2" s="168" t="str">
        <x:v>USD except per-share data. Historical values are LTM through the latest reported quarter; market values are as of 2026-07-31 close. Blue font marks model assumptions/forward inputs.</x:v>
      </x:c>
      <x:c r="B2" s="168" t="str">
        <x:v>USD except per-share data. Historical values are LTM through the latest reported quarter; market values are as of 2026-07-31 close. Blue font marks model assumptions/forward inputs.</x:v>
      </x:c>
      <x:c r="C2" s="168" t="str">
        <x:v>USD except per-share data. Historical values are LTM through the latest reported quarter; market values are as of 2026-07-31 close. Blue font marks model assumptions/forward inputs.</x:v>
      </x:c>
      <x:c r="D2" s="168" t="str">
        <x:v>USD except per-share data. Historical values are LTM through the latest reported quarter; market values are as of 2026-07-31 close. Blue font marks model assumptions/forward inputs.</x:v>
      </x:c>
      <x:c r="E2" s="168" t="str">
        <x:v>USD except per-share data. Historical values are LTM through the latest reported quarter; market values are as of 2026-07-31 close. Blue font marks model assumptions/forward inputs.</x:v>
      </x:c>
      <x:c r="F2" s="168" t="str">
        <x:v>USD except per-share data. Historical values are LTM through the latest reported quarter; market values are as of 2026-07-31 close. Blue font marks model assumptions/forward inputs.</x:v>
      </x:c>
      <x:c r="G2" s="168" t="str">
        <x:v>USD except per-share data. Historical values are LTM through the latest reported quarter; market values are as of 2026-07-31 close. Blue font marks model assumptions/forward inputs.</x:v>
      </x:c>
      <x:c r="H2" s="168" t="str">
        <x:v>USD except per-share data. Historical values are LTM through the latest reported quarter; market values are as of 2026-07-31 close. Blue font marks model assumptions/forward inputs.</x:v>
      </x:c>
      <x:c r="I2" s="168" t="str">
        <x:v>USD except per-share data. Historical values are LTM through the latest reported quarter; market values are as of 2026-07-31 close. Blue font marks model assumptions/forward inputs.</x:v>
      </x:c>
      <x:c r="J2" s="168" t="str">
        <x:v>USD except per-share data. Historical values are LTM through the latest reported quarter; market values are as of 2026-07-31 close. Blue font marks model assumptions/forward inputs.</x:v>
      </x:c>
      <x:c r="K2" s="168" t="str">
        <x:v>USD except per-share data. Historical values are LTM through the latest reported quarter; market values are as of 2026-07-31 close. Blue font marks model assumptions/forward inputs.</x:v>
      </x:c>
      <x:c r="L2" s="168" t="str">
        <x:v>USD except per-share data. Historical values are LTM through the latest reported quarter; market values are as of 2026-07-31 close. Blue font marks model assumptions/forward inputs.</x:v>
      </x:c>
      <x:c r="M2" s="168" t="str">
        <x:v>USD except per-share data. Historical values are LTM through the latest reported quarter; market values are as of 2026-07-31 close. Blue font marks model assumptions/forward inputs.</x:v>
      </x:c>
      <x:c r="N2" s="168" t="str">
        <x:v>USD except per-share data. Historical values are LTM through the latest reported quarter; market values are as of 2026-07-31 close. Blue font marks model assumptions/forward inputs.</x:v>
      </x:c>
      <x:c r="O2" s="168" t="str">
        <x:v>USD except per-share data. Historical values are LTM through the latest reported quarter; market values are as of 2026-07-31 close. Blue font marks model assumptions/forward inputs.</x:v>
      </x:c>
      <x:c r="P2" s="168" t="str">
        <x:v>USD except per-share data. Historical values are LTM through the latest reported quarter; market values are as of 2026-07-31 close. Blue font marks model assumptions/forward inputs.</x:v>
      </x:c>
      <x:c r="Q2" s="168" t="str">
        <x:v>USD except per-share data. Historical values are LTM through the latest reported quarter; market values are as of 2026-07-31 close. Blue font marks model assumptions/forward inputs.</x:v>
      </x:c>
      <x:c r="R2" s="168" t="str">
        <x:v>USD except per-share data. Historical values are LTM through the latest reported quarter; market values are as of 2026-07-31 close. Blue font marks model assumptions/forward inputs.</x:v>
      </x:c>
      <x:c r="S2" s="168" t="str">
        <x:v>USD except per-share data. Historical values are LTM through the latest reported quarter; market values are as of 2026-07-31 close. Blue font marks model assumptions/forward inputs.</x:v>
      </x:c>
      <x:c r="T2" s="168" t="str">
        <x:v>USD except per-share data. Historical values are LTM through the latest reported quarter; market values are as of 2026-07-31 close. Blue font marks model assumptions/forward inputs.</x:v>
      </x:c>
      <x:c r="U2" s="168" t="str">
        <x:v>USD except per-share data. Historical values are LTM through the latest reported quarter; market values are as of 2026-07-31 close. Blue font marks model assumptions/forward inputs.</x:v>
      </x:c>
      <x:c r="V2" s="168" t="str">
        <x:v>USD except per-share data. Historical values are LTM through the latest reported quarter; market values are as of 2026-07-31 close. Blue font marks model assumptions/forward inputs.</x:v>
      </x:c>
      <x:c r="W2" s="168" t="str">
        <x:v>USD except per-share data. Historical values are LTM through the latest reported quarter; market values are as of 2026-07-31 close. Blue font marks model assumptions/forward inputs.</x:v>
      </x:c>
      <x:c r="X2" s="168" t="str">
        <x:v>USD except per-share data. Historical values are LTM through the latest reported quarter; market values are as of 2026-07-31 close. Blue font marks model assumptions/forward inputs.</x:v>
      </x:c>
      <x:c r="Y2" s="168" t="str">
        <x:v>USD except per-share data. Historical values are LTM through the latest reported quarter; market values are as of 2026-07-31 close. Blue font marks model assumptions/forward inputs.</x:v>
      </x:c>
    </x:row>
    <x:row r="3">
      <x:c r="A3" s="208"/>
      <x:c r="B3" s="208"/>
      <x:c r="C3" s="208"/>
      <x:c r="D3" s="208"/>
      <x:c r="E3" s="208"/>
      <x:c r="F3" s="208"/>
      <x:c r="G3" s="208"/>
      <x:c r="H3" s="208"/>
      <x:c r="I3" s="208"/>
      <x:c r="J3" s="208"/>
      <x:c r="K3" s="208"/>
      <x:c r="L3" s="208"/>
      <x:c r="M3" s="208"/>
      <x:c r="N3" s="208"/>
      <x:c r="O3" s="208"/>
      <x:c r="P3" s="208"/>
      <x:c r="Q3" s="208"/>
      <x:c r="R3" s="208"/>
      <x:c r="S3" s="208"/>
      <x:c r="T3" s="208"/>
      <x:c r="U3" s="208"/>
      <x:c r="V3" s="208"/>
      <x:c r="W3" s="208"/>
      <x:c r="X3" s="208"/>
      <x:c r="Y3" s="208"/>
    </x:row>
    <x:row r="4">
      <x:c r="A4" s="314" t="str">
        <x:v>Historical / market inputs</x:v>
      </x:c>
      <x:c r="B4" s="314"/>
      <x:c r="C4" s="314"/>
      <x:c r="D4" s="314"/>
      <x:c r="E4" s="314"/>
      <x:c r="F4" s="314"/>
      <x:c r="G4" s="314"/>
      <x:c r="H4" s="314"/>
      <x:c r="I4" s="314"/>
      <x:c r="J4" s="314"/>
      <x:c r="K4" s="314"/>
      <x:c r="L4" s="314"/>
      <x:c r="M4" s="314"/>
      <x:c r="N4" s="314"/>
      <x:c r="O4" s="314"/>
      <x:c r="P4" s="314"/>
      <x:c r="Q4" s="314"/>
      <x:c r="R4" s="314"/>
      <x:c r="S4" s="286" t="str">
        <x:v>Forward consensus / calendarization inputs</x:v>
      </x:c>
      <x:c r="T4" s="286"/>
      <x:c r="U4" s="286"/>
      <x:c r="V4" s="286"/>
      <x:c r="W4" s="286"/>
      <x:c r="X4" s="286"/>
      <x:c r="Y4" s="286"/>
    </x:row>
    <x:row r="5" ht="34" customHeight="1">
      <x:c r="A5" s="187" t="str">
        <x:v>Ticker</x:v>
      </x:c>
      <x:c r="B5" s="187" t="str">
        <x:v>Company</x:v>
      </x:c>
      <x:c r="C5" s="187" t="str">
        <x:v>Peer bucket</x:v>
      </x:c>
      <x:c r="D5" s="187" t="str">
        <x:v>Latest actual</x:v>
      </x:c>
      <x:c r="E5" s="187" t="str">
        <x:v>Price ($)</x:v>
      </x:c>
      <x:c r="F5" s="187" t="str">
        <x:v>Market cap ($)</x:v>
      </x:c>
      <x:c r="G5" s="187" t="str">
        <x:v>Cash + ST investments ($)</x:v>
      </x:c>
      <x:c r="H5" s="187" t="str">
        <x:v>Debt ($)</x:v>
      </x:c>
      <x:c r="I5" s="187" t="str">
        <x:v>LTM revenue ($)</x:v>
      </x:c>
      <x:c r="J5" s="187" t="str">
        <x:v>Prior LTM revenue ($)</x:v>
      </x:c>
      <x:c r="K5" s="187" t="str">
        <x:v>LTM gross profit ($)</x:v>
      </x:c>
      <x:c r="L5" s="187" t="str">
        <x:v>LTM GAAP op. income ($)</x:v>
      </x:c>
      <x:c r="M5" s="187" t="str">
        <x:v>CFO less PP&amp;E capex ($)</x:v>
      </x:c>
      <x:c r="N5" s="187" t="str">
        <x:v>Capitalized software / intangibles ($)</x:v>
      </x:c>
      <x:c r="O5" s="187" t="str">
        <x:v>Standardized FCF ($)</x:v>
      </x:c>
      <x:c r="P5" s="187" t="str">
        <x:v>LTM SBC ($)</x:v>
      </x:c>
      <x:c r="Q5" s="187" t="str">
        <x:v>Latest basic shares</x:v>
      </x:c>
      <x:c r="R5" s="187" t="str">
        <x:v>Prior-year basic shares</x:v>
      </x:c>
      <x:c r="S5" s="187" t="str">
        <x:v>Current FY revenue growth</x:v>
      </x:c>
      <x:c r="T5" s="187" t="str">
        <x:v>Next FY revenue growth</x:v>
      </x:c>
      <x:c r="U5" s="187" t="str">
        <x:v>Months of current FY in NTM</x:v>
      </x:c>
      <x:c r="V5" s="187" t="str">
        <x:v>Current FY revenue est. ($)</x:v>
      </x:c>
      <x:c r="W5" s="187" t="str">
        <x:v>Next FY revenue est. ($)</x:v>
      </x:c>
      <x:c r="X5" s="187" t="str">
        <x:v>Current FY FCF est. ($)</x:v>
      </x:c>
      <x:c r="Y5" s="187" t="str">
        <x:v>Forward update date</x:v>
      </x:c>
    </x:row>
    <x:row r="6">
      <x:c r="A6" s="315" t="str">
        <x:v>DDOG</x:v>
      </x:c>
      <x:c r="B6" s="315" t="str">
        <x:v>Datadog</x:v>
      </x:c>
      <x:c r="C6" s="315" t="str">
        <x:v>Target</x:v>
      </x:c>
      <x:c r="D6" s="316" t="n">
        <x:v>46112</x:v>
      </x:c>
      <x:c r="E6" s="317" t="n">
        <x:v>267.97</x:v>
      </x:c>
      <x:c r="F6" s="318" t="n">
        <x:v>97736966070</x:v>
      </x:c>
      <x:c r="G6" s="318" t="n">
        <x:v>4758617000</x:v>
      </x:c>
      <x:c r="H6" s="318" t="n">
        <x:v>1285052000</x:v>
      </x:c>
      <x:c r="I6" s="318" t="n">
        <x:v>3672031000</x:v>
      </x:c>
      <x:c r="J6" s="318" t="n">
        <x:v>2834575000</x:v>
      </x:c>
      <x:c r="K6" s="318" t="n">
        <x:v>2933474000</x:v>
      </x:c>
      <x:c r="L6" s="318" t="n">
        <x:v>-24626000</x:v>
      </x:c>
      <x:c r="M6" s="318" t="n">
        <x:v>1061028000</x:v>
      </x:c>
      <x:c r="N6" s="318" t="n">
        <x:v>101611000</x:v>
      </x:c>
      <x:c r="O6" s="318" t="n">
        <x:f>M6-N6</x:f>
        <x:v>959417000</x:v>
      </x:c>
      <x:c r="P6" s="318" t="n">
        <x:v>783247000</x:v>
      </x:c>
      <x:c r="Q6" s="319" t="n">
        <x:v>353272000</x:v>
      </x:c>
      <x:c r="R6" s="319" t="n">
        <x:v>343097000</x:v>
      </x:c>
      <x:c r="S6" s="320" t="n">
        <x:v>0.269</x:v>
      </x:c>
      <x:c r="T6" s="320" t="n">
        <x:v>0.2138</x:v>
      </x:c>
      <x:c r="U6" s="321" t="n">
        <x:v>5</x:v>
      </x:c>
      <x:c r="V6" s="322" t="n">
        <x:v>4350000000</x:v>
      </x:c>
      <x:c r="W6" s="322" t="n">
        <x:v>5280000000</x:v>
      </x:c>
      <x:c r="X6" s="322" t="n">
        <x:v>1150000000</x:v>
      </x:c>
      <x:c r="Y6" s="323" t="n">
        <x:v>46234</x:v>
      </x:c>
    </x:row>
    <x:row r="7">
      <x:c r="A7" s="268" t="str">
        <x:v>DT</x:v>
      </x:c>
      <x:c r="B7" s="268" t="str">
        <x:v>Dynatrace</x:v>
      </x:c>
      <x:c r="C7" s="268" t="str">
        <x:v>Direct</x:v>
      </x:c>
      <x:c r="D7" s="324" t="n">
        <x:v>46112</x:v>
      </x:c>
      <x:c r="E7" s="325" t="n">
        <x:v>44.32</x:v>
      </x:c>
      <x:c r="F7" s="326" t="n">
        <x:v>13440040000</x:v>
      </x:c>
      <x:c r="G7" s="326" t="n">
        <x:v>1172101000</x:v>
      </x:c>
      <x:c r="H7" s="326" t="n">
        <x:v>164324000</x:v>
      </x:c>
      <x:c r="I7" s="326" t="n">
        <x:v>2018387000</x:v>
      </x:c>
      <x:c r="J7" s="326" t="n">
        <x:v>1698683000</x:v>
      </x:c>
      <x:c r="K7" s="326" t="n">
        <x:v>1646183000</x:v>
      </x:c>
      <x:c r="L7" s="326" t="n">
        <x:v>245387000</x:v>
      </x:c>
      <x:c r="M7" s="326" t="n">
        <x:v>529677000</x:v>
      </x:c>
      <x:c r="N7" s="326" t="n">
        <x:v>194000</x:v>
      </x:c>
      <x:c r="O7" s="326" t="n">
        <x:f>M7-N7</x:f>
        <x:v>529483000</x:v>
      </x:c>
      <x:c r="P7" s="326" t="n">
        <x:v>299626000</x:v>
      </x:c>
      <x:c r="Q7" s="327" t="n">
        <x:v>297544000</x:v>
      </x:c>
      <x:c r="R7" s="327" t="n">
        <x:v>299441000</x:v>
      </x:c>
      <x:c r="S7" s="328" t="n">
        <x:v>0.1539</x:v>
      </x:c>
      <x:c r="T7" s="328" t="n">
        <x:v>0.1462</x:v>
      </x:c>
      <x:c r="U7" s="329" t="n">
        <x:v>8</x:v>
      </x:c>
      <x:c r="V7" s="330" t="n">
        <x:v>2330000000</x:v>
      </x:c>
      <x:c r="W7" s="330" t="n">
        <x:v>2670000000</x:v>
      </x:c>
      <x:c r="X7" s="330" t="n">
        <x:v>616780000</x:v>
      </x:c>
      <x:c r="Y7" s="331" t="n">
        <x:v>46231</x:v>
      </x:c>
    </x:row>
    <x:row r="8">
      <x:c r="A8" s="268" t="str">
        <x:v>ESTC</x:v>
      </x:c>
      <x:c r="B8" s="268" t="str">
        <x:v>Elastic</x:v>
      </x:c>
      <x:c r="C8" s="268" t="str">
        <x:v>Direct</x:v>
      </x:c>
      <x:c r="D8" s="324" t="n">
        <x:v>46142</x:v>
      </x:c>
      <x:c r="E8" s="325" t="n">
        <x:v>65.79</x:v>
      </x:c>
      <x:c r="F8" s="326" t="n">
        <x:v>6986612866</x:v>
      </x:c>
      <x:c r="G8" s="326" t="n">
        <x:v>1372035000</x:v>
      </x:c>
      <x:c r="H8" s="326" t="n">
        <x:v>591563000</x:v>
      </x:c>
      <x:c r="I8" s="326" t="n">
        <x:v>1739331000</x:v>
      </x:c>
      <x:c r="J8" s="326" t="n">
        <x:v>1483296000</x:v>
      </x:c>
      <x:c r="K8" s="326" t="n">
        <x:v>1323059000</x:v>
      </x:c>
      <x:c r="L8" s="326" t="n">
        <x:v>-33476000</x:v>
      </x:c>
      <x:c r="M8" s="326" t="n">
        <x:v>321802000</x:v>
      </x:c>
      <x:c r="N8" s="326" t="n">
        <x:v>0</x:v>
      </x:c>
      <x:c r="O8" s="326" t="n">
        <x:f>M8-N8</x:f>
        <x:v>321802000</x:v>
      </x:c>
      <x:c r="P8" s="326" t="n">
        <x:v>298435000</x:v>
      </x:c>
      <x:c r="Q8" s="327" t="n">
        <x:v>104256173</x:v>
      </x:c>
      <x:c r="R8" s="327" t="n">
        <x:v>105084869</x:v>
      </x:c>
      <x:c r="S8" s="328" t="n">
        <x:v>0.147</x:v>
      </x:c>
      <x:c r="T8" s="328" t="n">
        <x:v>0.1445</x:v>
      </x:c>
      <x:c r="U8" s="329" t="n">
        <x:v>9</x:v>
      </x:c>
      <x:c r="V8" s="330" t="n">
        <x:v>1990000000</x:v>
      </x:c>
      <x:c r="W8" s="330" t="n">
        <x:v>2280000000</x:v>
      </x:c>
      <x:c r="X8" s="330" t="n">
        <x:v>420770000</x:v>
      </x:c>
      <x:c r="Y8" s="331" t="n">
        <x:v>46225</x:v>
      </x:c>
    </x:row>
    <x:row r="9">
      <x:c r="A9" s="268" t="str">
        <x:v>NET</x:v>
      </x:c>
      <x:c r="B9" s="268" t="str">
        <x:v>Cloudflare</x:v>
      </x:c>
      <x:c r="C9" s="268" t="str">
        <x:v>Infra / edge</x:v>
      </x:c>
      <x:c r="D9" s="324" t="n">
        <x:v>46112</x:v>
      </x:c>
      <x:c r="E9" s="325" t="n">
        <x:v>278.98</x:v>
      </x:c>
      <x:c r="F9" s="326" t="n">
        <x:v>98375322500</x:v>
      </x:c>
      <x:c r="G9" s="326" t="n">
        <x:v>4163878000</x:v>
      </x:c>
      <x:c r="H9" s="326" t="n">
        <x:v>3524536000</x:v>
      </x:c>
      <x:c r="I9" s="326" t="n">
        <x:v>2328605000</x:v>
      </x:c>
      <x:c r="J9" s="326" t="n">
        <x:v>1770111000</x:v>
      </x:c>
      <x:c r="K9" s="326" t="n">
        <x:v>1707498000</x:v>
      </x:c>
      <x:c r="L9" s="326" t="n">
        <x:v>-215952000</x:v>
      </x:c>
      <x:c r="M9" s="326" t="n">
        <x:v>320701000</x:v>
      </x:c>
      <x:c r="N9" s="326" t="n">
        <x:v>28932000</x:v>
      </x:c>
      <x:c r="O9" s="326" t="n">
        <x:f>M9-N9</x:f>
        <x:v>291769000</x:v>
      </x:c>
      <x:c r="P9" s="326" t="n">
        <x:v>470160000</x:v>
      </x:c>
      <x:c r="Q9" s="327" t="n">
        <x:v>352625000</x:v>
      </x:c>
      <x:c r="R9" s="327" t="n">
        <x:v>345723000</x:v>
      </x:c>
      <x:c r="S9" s="328" t="n">
        <x:v>0.2974</x:v>
      </x:c>
      <x:c r="T9" s="328" t="n">
        <x:v>0.2764</x:v>
      </x:c>
      <x:c r="U9" s="329" t="n">
        <x:v>5</x:v>
      </x:c>
      <x:c r="V9" s="330" t="n">
        <x:v>2810000000</x:v>
      </x:c>
      <x:c r="W9" s="330" t="n">
        <x:v>3590000000</x:v>
      </x:c>
      <x:c r="X9" s="330" t="n">
        <x:v>367560000</x:v>
      </x:c>
      <x:c r="Y9" s="331" t="n">
        <x:v>46232</x:v>
      </x:c>
    </x:row>
    <x:row r="10">
      <x:c r="A10" s="268" t="str">
        <x:v>MDB</x:v>
      </x:c>
      <x:c r="B10" s="268" t="str">
        <x:v>MongoDB</x:v>
      </x:c>
      <x:c r="C10" s="268" t="str">
        <x:v>Consumption / data</x:v>
      </x:c>
      <x:c r="D10" s="324" t="n">
        <x:v>46142</x:v>
      </x:c>
      <x:c r="E10" s="325" t="n">
        <x:v>337.48</x:v>
      </x:c>
      <x:c r="F10" s="326" t="n">
        <x:v>27532086485</x:v>
      </x:c>
      <x:c r="G10" s="326" t="n">
        <x:v>2427153000</x:v>
      </x:c>
      <x:c r="H10" s="326" t="n">
        <x:v>30427000</x:v>
      </x:c>
      <x:c r="I10" s="326" t="n">
        <x:v>2602399000</x:v>
      </x:c>
      <x:c r="J10" s="326" t="n">
        <x:v>2104896000</x:v>
      </x:c>
      <x:c r="K10" s="326" t="n">
        <x:v>1872941000</x:v>
      </x:c>
      <x:c r="L10" s="326" t="n">
        <x:v>-108218000</x:v>
      </x:c>
      <x:c r="M10" s="326" t="n">
        <x:v>591182000</x:v>
      </x:c>
      <x:c r="N10" s="326" t="n">
        <x:v>0</x:v>
      </x:c>
      <x:c r="O10" s="326" t="n">
        <x:f>M10-N10</x:f>
        <x:v>591182000</x:v>
      </x:c>
      <x:c r="P10" s="326" t="n">
        <x:v>555853000</x:v>
      </x:c>
      <x:c r="Q10" s="327" t="n">
        <x:v>80357498</x:v>
      </x:c>
      <x:c r="R10" s="327" t="n">
        <x:v>81060822</x:v>
      </x:c>
      <x:c r="S10" s="328" t="n">
        <x:v>0.2019</x:v>
      </x:c>
      <x:c r="T10" s="328" t="n">
        <x:v>0.1764</x:v>
      </x:c>
      <x:c r="U10" s="329" t="n">
        <x:v>6</x:v>
      </x:c>
      <x:c r="V10" s="330" t="n">
        <x:v>2960000000</x:v>
      </x:c>
      <x:c r="W10" s="330" t="n">
        <x:v>3480000000</x:v>
      </x:c>
      <x:c r="X10" s="330" t="n">
        <x:v>569480000</x:v>
      </x:c>
      <x:c r="Y10" s="331" t="n">
        <x:v>46230</x:v>
      </x:c>
    </x:row>
    <x:row r="11">
      <x:c r="A11" s="268" t="str">
        <x:v>SNOW</x:v>
      </x:c>
      <x:c r="B11" s="268" t="str">
        <x:v>Snowflake</x:v>
      </x:c>
      <x:c r="C11" s="268" t="str">
        <x:v>Consumption / data</x:v>
      </x:c>
      <x:c r="D11" s="324" t="n">
        <x:v>46142</x:v>
      </x:c>
      <x:c r="E11" s="325" t="n">
        <x:v>293.28</x:v>
      </x:c>
      <x:c r="F11" s="326" t="n">
        <x:v>101296272480</x:v>
      </x:c>
      <x:c r="G11" s="326" t="n">
        <x:v>2954998000</x:v>
      </x:c>
      <x:c r="H11" s="326" t="n">
        <x:v>2772095000</x:v>
      </x:c>
      <x:c r="I11" s="326" t="n">
        <x:v>5032823000</x:v>
      </x:c>
      <x:c r="J11" s="326" t="n">
        <x:v>3839761000</x:v>
      </x:c>
      <x:c r="K11" s="326" t="n">
        <x:v>3379304000</x:v>
      </x:c>
      <x:c r="L11" s="326" t="n">
        <x:v>-1314062000</x:v>
      </x:c>
      <x:c r="M11" s="326" t="n">
        <x:v>1169702000</x:v>
      </x:c>
      <x:c r="N11" s="326" t="n">
        <x:v>3101000</x:v>
      </x:c>
      <x:c r="O11" s="326" t="n">
        <x:f>M11-N11</x:f>
        <x:v>1166601000</x:v>
      </x:c>
      <x:c r="P11" s="326" t="n">
        <x:v>1622557000</x:v>
      </x:c>
      <x:c r="Q11" s="327" t="n">
        <x:v>345391000</x:v>
      </x:c>
      <x:c r="R11" s="327" t="n">
        <x:v>332657000</x:v>
      </x:c>
      <x:c r="S11" s="328" t="n">
        <x:v>0.3024</x:v>
      </x:c>
      <x:c r="T11" s="328" t="n">
        <x:v>0.2535</x:v>
      </x:c>
      <x:c r="U11" s="329" t="n">
        <x:v>6</x:v>
      </x:c>
      <x:c r="V11" s="330" t="n">
        <x:v>6100000000</x:v>
      </x:c>
      <x:c r="W11" s="330" t="n">
        <x:v>7650000000</x:v>
      </x:c>
      <x:c r="X11" s="330" t="n">
        <x:v>1390000000</x:v>
      </x:c>
      <x:c r="Y11" s="331" t="n">
        <x:v>46225</x:v>
      </x:c>
    </x:row>
    <x:row r="12">
      <x:c r="A12" s="268" t="str">
        <x:v>CRWD</x:v>
      </x:c>
      <x:c r="B12" s="268" t="str">
        <x:v>CrowdStrike</x:v>
      </x:c>
      <x:c r="C12" s="268" t="str">
        <x:v>Security platform</x:v>
      </x:c>
      <x:c r="D12" s="324" t="n">
        <x:v>46142</x:v>
      </x:c>
      <x:c r="E12" s="325" t="n">
        <x:v>190.86</x:v>
      </x:c>
      <x:c r="F12" s="326" t="n">
        <x:v>49219167660</x:v>
      </x:c>
      <x:c r="G12" s="326" t="n">
        <x:v>4552801000</x:v>
      </x:c>
      <x:c r="H12" s="326" t="n">
        <x:v>821343000</x:v>
      </x:c>
      <x:c r="I12" s="326" t="n">
        <x:v>5094200000</x:v>
      </x:c>
      <x:c r="J12" s="326" t="n">
        <x:v>4136022000</x:v>
      </x:c>
      <x:c r="K12" s="326" t="n">
        <x:v>3817922000</x:v>
      </x:c>
      <x:c r="L12" s="326" t="n">
        <x:v>-219922000</x:v>
      </x:c>
      <x:c r="M12" s="326" t="n">
        <x:v>1505198000</x:v>
      </x:c>
      <x:c r="N12" s="326" t="n">
        <x:v>73885000</x:v>
      </x:c>
      <x:c r="O12" s="326" t="n">
        <x:f>M12-N12</x:f>
        <x:v>1431313000</x:v>
      </x:c>
      <x:c r="P12" s="326" t="n">
        <x:v>1146721000</x:v>
      </x:c>
      <x:c r="Q12" s="327" t="n">
        <x:v>1014928000</x:v>
      </x:c>
      <x:c r="R12" s="327" t="n">
        <x:v>993728000</x:v>
      </x:c>
      <x:c r="S12" s="328" t="n">
        <x:v>0.2355</x:v>
      </x:c>
      <x:c r="T12" s="328" t="n">
        <x:v>0.217</x:v>
      </x:c>
      <x:c r="U12" s="329" t="n">
        <x:v>6</x:v>
      </x:c>
      <x:c r="V12" s="330" t="n">
        <x:v>5950000000</x:v>
      </x:c>
      <x:c r="W12" s="330" t="n">
        <x:v>7240000000</x:v>
      </x:c>
      <x:c r="X12" s="330" t="n">
        <x:v>1790000000</x:v>
      </x:c>
      <x:c r="Y12" s="331" t="n">
        <x:v>46230</x:v>
      </x:c>
    </x:row>
    <x:row r="13">
      <x:c r="A13" s="268" t="str">
        <x:v>ZS</x:v>
      </x:c>
      <x:c r="B13" s="268" t="str">
        <x:v>Zscaler</x:v>
      </x:c>
      <x:c r="C13" s="268" t="str">
        <x:v>Security platform</x:v>
      </x:c>
      <x:c r="D13" s="324" t="n">
        <x:v>46142</x:v>
      </x:c>
      <x:c r="E13" s="325" t="n">
        <x:v>151.2</x:v>
      </x:c>
      <x:c r="F13" s="326" t="n">
        <x:v>24304039200</x:v>
      </x:c>
      <x:c r="G13" s="326" t="n">
        <x:v>3539107000</x:v>
      </x:c>
      <x:c r="H13" s="326" t="n">
        <x:v>1861184000</x:v>
      </x:c>
      <x:c r="I13" s="326" t="n">
        <x:v>3173564000</x:v>
      </x:c>
      <x:c r="J13" s="326" t="n">
        <x:v>2546757000</x:v>
      </x:c>
      <x:c r="K13" s="326" t="n">
        <x:v>2432659000</x:v>
      </x:c>
      <x:c r="L13" s="326" t="n">
        <x:v>-150017000</x:v>
      </x:c>
      <x:c r="M13" s="326" t="n">
        <x:v>963460000</x:v>
      </x:c>
      <x:c r="N13" s="326" t="n">
        <x:v>73160000</x:v>
      </x:c>
      <x:c r="O13" s="326" t="n">
        <x:f>M13-N13</x:f>
        <x:v>890300000</x:v>
      </x:c>
      <x:c r="P13" s="326" t="n">
        <x:v>782986000</x:v>
      </x:c>
      <x:c r="Q13" s="327" t="n">
        <x:v>160741000</x:v>
      </x:c>
      <x:c r="R13" s="327" t="n">
        <x:v>154909000</x:v>
      </x:c>
      <x:c r="S13" s="328" t="n">
        <x:v>0.2464</x:v>
      </x:c>
      <x:c r="T13" s="328" t="n">
        <x:v>0.1702</x:v>
      </x:c>
      <x:c r="U13" s="329" t="n">
        <x:v>0</x:v>
      </x:c>
      <x:c r="V13" s="330" t="n">
        <x:v>3330000000</x:v>
      </x:c>
      <x:c r="W13" s="330" t="n">
        <x:v>3900000000</x:v>
      </x:c>
      <x:c r="X13" s="330" t="n">
        <x:v>780530000</x:v>
      </x:c>
      <x:c r="Y13" s="331" t="n">
        <x:v>46231</x:v>
      </x:c>
    </x:row>
    <x:row r="14">
      <x:c r="A14" s="274" t="str">
        <x:v>GTLB</x:v>
      </x:c>
      <x:c r="B14" s="274" t="str">
        <x:v>GitLab</x:v>
      </x:c>
      <x:c r="C14" s="274" t="str">
        <x:v>Developer platform</x:v>
      </x:c>
      <x:c r="D14" s="332" t="n">
        <x:v>46142</x:v>
      </x:c>
      <x:c r="E14" s="333" t="n">
        <x:v>34.51</x:v>
      </x:c>
      <x:c r="F14" s="334" t="n">
        <x:v>5864905480</x:v>
      </x:c>
      <x:c r="G14" s="334" t="n">
        <x:v>1357512000</x:v>
      </x:c>
      <x:c r="H14" s="334" t="n">
        <x:v>0</x:v>
      </x:c>
      <x:c r="I14" s="334" t="n">
        <x:v>1004873000</x:v>
      </x:c>
      <x:c r="J14" s="334" t="n">
        <x:v>804571000</x:v>
      </x:c>
      <x:c r="K14" s="334" t="n">
        <x:v>871677000</x:v>
      </x:c>
      <x:c r="L14" s="334" t="n">
        <x:v>-51620000</x:v>
      </x:c>
      <x:c r="M14" s="334" t="n">
        <x:v>263443000</x:v>
      </x:c>
      <x:c r="N14" s="334" t="n">
        <x:v>0</x:v>
      </x:c>
      <x:c r="O14" s="334" t="n">
        <x:f>M14-N14</x:f>
        <x:v>263443000</x:v>
      </x:c>
      <x:c r="P14" s="334" t="n">
        <x:v>209185000</x:v>
      </x:c>
      <x:c r="Q14" s="335" t="n">
        <x:v>169948000</x:v>
      </x:c>
      <x:c r="R14" s="335" t="n">
        <x:v>164491000</x:v>
      </x:c>
      <x:c r="S14" s="336" t="n">
        <x:v>0.1692</x:v>
      </x:c>
      <x:c r="T14" s="336" t="n">
        <x:v>0.1559</x:v>
      </x:c>
      <x:c r="U14" s="337" t="n">
        <x:v>6</x:v>
      </x:c>
      <x:c r="V14" s="338" t="n">
        <x:v>1120000000</x:v>
      </x:c>
      <x:c r="W14" s="338" t="n">
        <x:v>1290000000</x:v>
      </x:c>
      <x:c r="X14" s="338" t="n">
        <x:v>217940000</x:v>
      </x:c>
      <x:c r="Y14" s="339" t="n">
        <x:v>46225</x:v>
      </x:c>
    </x:row>
  </x:sheetData>
  <x:mergeCells>
    <x:mergeCell ref="A1:Y1"/>
    <x:mergeCell ref="A2:Y2"/>
    <x:mergeCell ref="A4:R4"/>
    <x:mergeCell ref="S4:Y4"/>
  </x:mergeCells>
  <x:pageMargins left="0.7" right="0.7" top="0.75" bottom="0.75" header="0.3" footer="0.3"/>
  <x:legacyDrawing xmlns:r="http://schemas.openxmlformats.org/officeDocument/2006/relationships" r:id="R43f6fca86c9142e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38" hidden="0" customWidth="1"/>
    <x:col min="4" max="4" width="48" hidden="0" customWidth="1"/>
    <x:col min="5" max="5" width="30" hidden="0" customWidth="1"/>
  </x:cols>
  <x:sheetData>
    <x:row r="1" ht="34" customHeight="1">
      <x:c r="A1" s="167" t="str">
        <x:v>Methodology — where the comparison is apples-to-apples</x:v>
      </x:c>
      <x:c r="B1" s="167" t="str">
        <x:v>Methodology — where the comparison is apples-to-apples</x:v>
      </x:c>
      <x:c r="C1" s="167" t="str">
        <x:v>Methodology — where the comparison is apples-to-apples</x:v>
      </x:c>
      <x:c r="D1" s="167" t="str">
        <x:v>Methodology — where the comparison is apples-to-apples</x:v>
      </x:c>
      <x:c r="E1" s="167" t="str">
        <x:v>Methodology — where the comparison is apples-to-apples</x:v>
      </x:c>
    </x:row>
    <x:row r="2" ht="34" customHeight="1">
      <x:c r="A2" s="168" t="str">
        <x:v>The model separates product comparability from financial comparability. A metric can be mathematically standardized and still reflect a structurally different business model.</x:v>
      </x:c>
      <x:c r="B2" s="168" t="str">
        <x:v>The model separates product comparability from financial comparability. A metric can be mathematically standardized and still reflect a structurally different business model.</x:v>
      </x:c>
      <x:c r="C2" s="168" t="str">
        <x:v>The model separates product comparability from financial comparability. A metric can be mathematically standardized and still reflect a structurally different business model.</x:v>
      </x:c>
      <x:c r="D2" s="168" t="str">
        <x:v>The model separates product comparability from financial comparability. A metric can be mathematically standardized and still reflect a structurally different business model.</x:v>
      </x:c>
      <x:c r="E2" s="168" t="str">
        <x:v>The model separates product comparability from financial comparability. A metric can be mathematically standardized and still reflect a structurally different business model.</x:v>
      </x:c>
    </x:row>
    <x:row r="3">
      <x:c r="A3" s="208"/>
      <x:c r="B3" s="208"/>
      <x:c r="C3" s="208"/>
      <x:c r="D3" s="208"/>
      <x:c r="E3" s="208"/>
    </x:row>
    <x:row r="4" ht="22" customHeight="1">
      <x:c r="A4" s="170" t="str">
        <x:v>Peer architecture</x:v>
      </x:c>
      <x:c r="B4" s="170" t="str">
        <x:v>Peer architecture</x:v>
      </x:c>
      <x:c r="C4" s="170" t="str">
        <x:v>Peer architecture</x:v>
      </x:c>
      <x:c r="D4" s="170" t="str">
        <x:v>Peer architecture</x:v>
      </x:c>
      <x:c r="E4" s="170" t="str">
        <x:v>Peer architecture</x:v>
      </x:c>
    </x:row>
    <x:row r="5" ht="34" customHeight="1">
      <x:c r="A5" s="187" t="str">
        <x:v>Group</x:v>
      </x:c>
      <x:c r="B5" s="187" t="str">
        <x:v>Companies</x:v>
      </x:c>
      <x:c r="C5" s="187" t="str">
        <x:v>Best use</x:v>
      </x:c>
      <x:c r="D5" s="187" t="str">
        <x:v>Do not over-interpret</x:v>
      </x:c>
      <x:c r="E5" s="187" t="str">
        <x:v>Weight in conclusion</x:v>
      </x:c>
    </x:row>
    <x:row r="6" ht="52" customHeight="1">
      <x:c r="A6" s="343" t="str">
        <x:v>Direct</x:v>
      </x:c>
      <x:c r="B6" s="343" t="str">
        <x:v>Dynatrace, Elastic</x:v>
      </x:c>
      <x:c r="C6" s="343" t="str">
        <x:v>Competition, observability economics, valuation anchor</x:v>
      </x:c>
      <x:c r="D6" s="343" t="str">
        <x:v>Product mix and cloud exposure still differ</x:v>
      </x:c>
      <x:c r="E6" s="343" t="str">
        <x:v>Highest for product comps</x:v>
      </x:c>
    </x:row>
    <x:row r="7" ht="52" customHeight="1">
      <x:c r="A7" s="344" t="str">
        <x:v>Consumption / infrastructure</x:v>
      </x:c>
      <x:c r="B7" s="344" t="str">
        <x:v>Snowflake, MongoDB, Cloudflare</x:v>
      </x:c>
      <x:c r="C7" s="344" t="str">
        <x:v>Usage-based growth, cloud economics, valuation</x:v>
      </x:c>
      <x:c r="D7" s="344" t="str">
        <x:v>Gross margin and capex intensity differ</x:v>
      </x:c>
      <x:c r="E7" s="344" t="str">
        <x:v>High for financial comps</x:v>
      </x:c>
    </x:row>
    <x:row r="8" ht="52" customHeight="1">
      <x:c r="A8" s="345" t="str">
        <x:v>Platform adjacencies</x:v>
      </x:c>
      <x:c r="B8" s="345" t="str">
        <x:v>CrowdStrike, Zscaler, GitLab</x:v>
      </x:c>
      <x:c r="C8" s="345" t="str">
        <x:v>Enterprise GTM, platform expansion, SBC/dilution</x:v>
      </x:c>
      <x:c r="D8" s="345" t="str">
        <x:v>Security/dev demand and retention drivers differ</x:v>
      </x:c>
      <x:c r="E8" s="345" t="str">
        <x:v>Context, not direct competition</x:v>
      </x:c>
    </x:row>
    <x:row r="9">
      <x:c r="A9" s="208"/>
      <x:c r="B9" s="208"/>
      <x:c r="C9" s="208"/>
      <x:c r="D9" s="208"/>
      <x:c r="E9" s="208"/>
    </x:row>
    <x:row r="10" ht="22" customHeight="1">
      <x:c r="A10" s="170" t="str">
        <x:v>Metric definitions and caveats</x:v>
      </x:c>
      <x:c r="B10" s="170" t="str">
        <x:v>Metric definitions and caveats</x:v>
      </x:c>
      <x:c r="C10" s="170" t="str">
        <x:v>Metric definitions and caveats</x:v>
      </x:c>
      <x:c r="D10" s="170" t="str">
        <x:v>Metric definitions and caveats</x:v>
      </x:c>
      <x:c r="E10" s="170" t="str">
        <x:v>Metric definitions and caveats</x:v>
      </x:c>
    </x:row>
    <x:row r="11" ht="34" customHeight="1">
      <x:c r="A11" s="187" t="str">
        <x:v>Metric</x:v>
      </x:c>
      <x:c r="B11" s="187" t="str">
        <x:v>Definition used</x:v>
      </x:c>
      <x:c r="C11" s="187" t="str">
        <x:v>Comparability</x:v>
      </x:c>
      <x:c r="D11" s="187" t="str">
        <x:v>Main nuance</x:v>
      </x:c>
      <x:c r="E11" s="187" t="str">
        <x:v>How to use it</x:v>
      </x:c>
    </x:row>
    <x:row r="12" ht="42" customHeight="1">
      <x:c r="A12" s="343" t="str">
        <x:v>Revenue growth</x:v>
      </x:c>
      <x:c r="B12" s="343" t="str">
        <x:v>LTM revenue / prior LTM revenue – 1</x:v>
      </x:c>
      <x:c r="C12" s="343" t="str">
        <x:v>High</x:v>
      </x:c>
      <x:c r="D12" s="343" t="str">
        <x:v>Acquisitions, FX and usage cycles can distort</x:v>
      </x:c>
      <x:c r="E12" s="343" t="str">
        <x:v>Momentum baseline</x:v>
      </x:c>
    </x:row>
    <x:row r="13" ht="42" customHeight="1">
      <x:c r="A13" s="344" t="str">
        <x:v>NTM growth</x:v>
      </x:c>
      <x:c r="B13" s="344" t="str">
        <x:v>Calendarized blend of current- and next-FY consensus growth</x:v>
      </x:c>
      <x:c r="C13" s="344" t="str">
        <x:v>Medium</x:v>
      </x:c>
      <x:c r="D13" s="344" t="str">
        <x:v>Proxy, not true quarterly consensus; avoids false seasonal precision</x:v>
      </x:c>
      <x:c r="E13" s="344" t="str">
        <x:v>Forward momentum screen</x:v>
      </x:c>
    </x:row>
    <x:row r="14" ht="42" customHeight="1">
      <x:c r="A14" s="344" t="str">
        <x:v>Gross margin</x:v>
      </x:c>
      <x:c r="B14" s="344" t="str">
        <x:v>LTM GAAP gross profit / revenue</x:v>
      </x:c>
      <x:c r="C14" s="344" t="str">
        <x:v>Medium-high</x:v>
      </x:c>
      <x:c r="D14" s="344" t="str">
        <x:v>Hosting, support and acquired tech classification differ</x:v>
      </x:c>
      <x:c r="E14" s="344" t="str">
        <x:v>Unit-economics context</x:v>
      </x:c>
    </x:row>
    <x:row r="15" ht="42" customHeight="1">
      <x:c r="A15" s="344" t="str">
        <x:v>GAAP operating margin</x:v>
      </x:c>
      <x:c r="B15" s="344" t="str">
        <x:v>LTM GAAP operating income / revenue</x:v>
      </x:c>
      <x:c r="C15" s="344" t="str">
        <x:v>High</x:v>
      </x:c>
      <x:c r="D15" s="344" t="str">
        <x:v>Includes SBC; restructuring and acquisitions matter</x:v>
      </x:c>
      <x:c r="E15" s="344" t="str">
        <x:v>Most honest profitability comparison</x:v>
      </x:c>
    </x:row>
    <x:row r="16" ht="42" customHeight="1">
      <x:c r="A16" s="344" t="str">
        <x:v>Standardized FCF margin</x:v>
      </x:c>
      <x:c r="B16" s="344" t="str">
        <x:v>(CFO – PP&amp;E capex – identified capitalized software/intangibles) / revenue</x:v>
      </x:c>
      <x:c r="C16" s="344" t="str">
        <x:v>Medium-high</x:v>
      </x:c>
      <x:c r="D16" s="344" t="str">
        <x:v>Working capital and annual billing timing remain</x:v>
      </x:c>
      <x:c r="E16" s="344" t="str">
        <x:v>Cash efficiency; use with SBC</x:v>
      </x:c>
    </x:row>
    <x:row r="17" ht="42" customHeight="1">
      <x:c r="A17" s="344" t="str">
        <x:v>Rule of 40</x:v>
      </x:c>
      <x:c r="B17" s="344" t="str">
        <x:v>LTM revenue growth + standardized FCF margin</x:v>
      </x:c>
      <x:c r="C17" s="344" t="str">
        <x:v>Medium</x:v>
      </x:c>
      <x:c r="D17" s="344" t="str">
        <x:v>Can reward SBC-heavy FCF and cyclical working capital</x:v>
      </x:c>
      <x:c r="E17" s="344" t="str">
        <x:v>Fast quality screen, never standalone</x:v>
      </x:c>
    </x:row>
    <x:row r="18" ht="42" customHeight="1">
      <x:c r="A18" s="344" t="str">
        <x:v>SBC / revenue</x:v>
      </x:c>
      <x:c r="B18" s="344" t="str">
        <x:v>LTM stock-based compensation / revenue</x:v>
      </x:c>
      <x:c r="C18" s="344" t="str">
        <x:v>High</x:v>
      </x:c>
      <x:c r="D18" s="344" t="str">
        <x:v>Grant timing and mark-to-market effects differ</x:v>
      </x:c>
      <x:c r="E18" s="344" t="str">
        <x:v>Cost of talent paid with equity</x:v>
      </x:c>
    </x:row>
    <x:row r="19" ht="42" customHeight="1">
      <x:c r="A19" s="344" t="str">
        <x:v>Dilution</x:v>
      </x:c>
      <x:c r="B19" s="344" t="str">
        <x:v>Latest basic weighted-average shares / prior-year comparable – 1</x:v>
      </x:c>
      <x:c r="C19" s="344" t="str">
        <x:v>Medium-high</x:v>
      </x:c>
      <x:c r="D19" s="344" t="str">
        <x:v>Buybacks can mask gross issuance; diluted EPS shares are unreliable when anti-dilutive</x:v>
      </x:c>
      <x:c r="E19" s="344" t="str">
        <x:v>Per-share reality check</x:v>
      </x:c>
    </x:row>
    <x:row r="20" ht="42" customHeight="1">
      <x:c r="A20" s="344" t="str">
        <x:v>EV / NTM Revenue</x:v>
      </x:c>
      <x:c r="B20" s="344" t="str">
        <x:v>Enterprise value / NTM revenue proxy</x:v>
      </x:c>
      <x:c r="C20" s="344" t="str">
        <x:v>High mathematically</x:v>
      </x:c>
      <x:c r="D20" s="344" t="str">
        <x:v>Business quality and durability determine justified multiple</x:v>
      </x:c>
      <x:c r="E20" s="344" t="str">
        <x:v>Primary growth-company valuation screen</x:v>
      </x:c>
    </x:row>
    <x:row r="21" ht="42" customHeight="1">
      <x:c r="A21" s="344" t="str">
        <x:v>Equity / NTM FCF</x:v>
      </x:c>
      <x:c r="B21" s="344" t="str">
        <x:v>Market cap / (NTM revenue proxy × LTM standardized FCF margin)</x:v>
      </x:c>
      <x:c r="C21" s="344" t="str">
        <x:v>High mathematically</x:v>
      </x:c>
      <x:c r="D21" s="344" t="str">
        <x:v>Constant-margin extrapolation and working capital can distort</x:v>
      </x:c>
      <x:c r="E21" s="344" t="str">
        <x:v>Equity cash-return screen</x:v>
      </x:c>
    </x:row>
    <x:row r="22" ht="42" customHeight="1">
      <x:c r="A22" s="345" t="str">
        <x:v>FCF – SBC margin</x:v>
      </x:c>
      <x:c r="B22" s="345" t="str">
        <x:v>(Standardized FCF – SBC) / revenue</x:v>
      </x:c>
      <x:c r="C22" s="345" t="str">
        <x:v>Sensitivity only</x:v>
      </x:c>
      <x:c r="D22" s="345" t="str">
        <x:v>Not GAAP and not a literal cash expense</x:v>
      </x:c>
      <x:c r="E22" s="345" t="str">
        <x:v>Tests whether FCF survives an equity-cost charge</x:v>
      </x:c>
    </x:row>
  </x:sheetData>
  <x:mergeCells>
    <x:mergeCell ref="A1:E1"/>
    <x:mergeCell ref="A2:E2"/>
    <x:mergeCell ref="A4:E4"/>
    <x:mergeCell ref="A10:E1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45" hidden="0" customWidth="1"/>
  </x:cols>
  <x:sheetData>
    <x:row r="1" ht="34" customHeight="1">
      <x:c r="A1" s="167" t="str">
        <x:v>Model checks</x:v>
      </x:c>
      <x:c r="B1" s="167" t="str">
        <x:v>Model checks</x:v>
      </x:c>
      <x:c r="C1" s="167" t="str">
        <x:v>Model checks</x:v>
      </x:c>
      <x:c r="D1" s="167" t="str">
        <x:v>Model checks</x:v>
      </x:c>
      <x:c r="E1" s="167" t="str">
        <x:v>Model checks</x:v>
      </x:c>
      <x:c r="F1" s="167" t="str">
        <x:v>Model checks</x:v>
      </x:c>
      <x:c r="G1" s="167" t="str">
        <x:v>Model checks</x:v>
      </x:c>
    </x:row>
    <x:row r="2" ht="34" customHeight="1">
      <x:c r="A2" s="168" t="str">
        <x:v>Checks cover input completeness, FCF normalization, enterprise-value bridge, valuation reconciliation and source coverage.</x:v>
      </x:c>
      <x:c r="B2" s="168" t="str">
        <x:v>Checks cover input completeness, FCF normalization, enterprise-value bridge, valuation reconciliation and source coverage.</x:v>
      </x:c>
      <x:c r="C2" s="168" t="str">
        <x:v>Checks cover input completeness, FCF normalization, enterprise-value bridge, valuation reconciliation and source coverage.</x:v>
      </x:c>
      <x:c r="D2" s="168" t="str">
        <x:v>Checks cover input completeness, FCF normalization, enterprise-value bridge, valuation reconciliation and source coverage.</x:v>
      </x:c>
      <x:c r="E2" s="168" t="str">
        <x:v>Checks cover input completeness, FCF normalization, enterprise-value bridge, valuation reconciliation and source coverage.</x:v>
      </x:c>
      <x:c r="F2" s="168" t="str">
        <x:v>Checks cover input completeness, FCF normalization, enterprise-value bridge, valuation reconciliation and source coverage.</x:v>
      </x:c>
      <x:c r="G2" s="168" t="str">
        <x:v>Checks cover input completeness, FCF normalization, enterprise-value bridge, valuation reconciliation and source coverage.</x:v>
      </x:c>
    </x:row>
    <x:row r="3">
      <x:c r="A3" s="208"/>
      <x:c r="B3" s="208"/>
      <x:c r="C3" s="208"/>
      <x:c r="D3" s="208"/>
      <x:c r="E3" s="208"/>
      <x:c r="F3" s="208"/>
      <x:c r="G3" s="208"/>
    </x:row>
    <x:row r="4" ht="34" customHeight="1">
      <x:c r="A4" s="187" t="str">
        <x:v>Check</x:v>
      </x:c>
      <x:c r="B4" s="187" t="str">
        <x:v>Actual</x:v>
      </x:c>
      <x:c r="C4" s="187" t="str">
        <x:v>Expected</x:v>
      </x:c>
      <x:c r="D4" s="187" t="str">
        <x:v>Difference</x:v>
      </x:c>
      <x:c r="E4" s="187" t="str">
        <x:v>Tolerance</x:v>
      </x:c>
      <x:c r="F4" s="187" t="str">
        <x:v>Status</x:v>
      </x:c>
      <x:c r="G4" s="187" t="str">
        <x:v>Notes</x:v>
      </x:c>
    </x:row>
    <x:row r="5">
      <x:c r="A5" s="219" t="str">
        <x:v>Required numeric inputs populated</x:v>
      </x:c>
      <x:c r="B5" s="219" t="n">
        <x:f>COUNTBLANK('Raw Data'!E6:X14)</x:f>
        <x:v>0</x:v>
      </x:c>
      <x:c r="C5" s="219" t="n">
        <x:v>0</x:v>
      </x:c>
      <x:c r="D5" s="219" t="n">
        <x:f>B5-C5</x:f>
        <x:v>0</x:v>
      </x:c>
      <x:c r="E5" s="219" t="n">
        <x:v>0</x:v>
      </x:c>
      <x:c r="F5" s="219" t="str">
        <x:f>IF(ABS(D5)&lt;=E5,"OK","REVIEW")</x:f>
        <x:v>OK</x:v>
      </x:c>
      <x:c r="G5" s="219" t="str">
        <x:v>Zero blanks expected</x:v>
      </x:c>
    </x:row>
    <x:row r="6">
      <x:c r="A6" s="224" t="str">
        <x:v>Standardized FCF tie</x:v>
      </x:c>
      <x:c r="B6" s="224" t="n">
        <x:f>SUM('Raw Data'!O6:O14)-SUM('Raw Data'!M6:M14)+SUM('Raw Data'!N6:N14)</x:f>
        <x:v>0</x:v>
      </x:c>
      <x:c r="C6" s="224" t="n">
        <x:v>0</x:v>
      </x:c>
      <x:c r="D6" s="224" t="n">
        <x:f>B6-C6</x:f>
        <x:v>0</x:v>
      </x:c>
      <x:c r="E6" s="224" t="n">
        <x:v>1</x:v>
      </x:c>
      <x:c r="F6" s="224" t="str">
        <x:f>IF(ABS(D6)&lt;=E6,"OK","REVIEW")</x:f>
        <x:v>OK</x:v>
      </x:c>
      <x:c r="G6" s="224" t="str">
        <x:v>O = M – N</x:v>
      </x:c>
    </x:row>
    <x:row r="7">
      <x:c r="A7" s="224" t="str">
        <x:v>Enterprise-value bridge</x:v>
      </x:c>
      <x:c r="B7" s="224" t="n">
        <x:f>SUM('Comps'!S6:S14)-SUM('Raw Data'!F6:F14)/1000000000-SUM('Raw Data'!H6:H14)/1000000000+SUM('Raw Data'!G6:G14)/1000000000</x:f>
        <x:v>4.973799150320701e-14</x:v>
      </x:c>
      <x:c r="C7" s="224" t="n">
        <x:v>0</x:v>
      </x:c>
      <x:c r="D7" s="224" t="n">
        <x:f>B7-C7</x:f>
        <x:v>4.973799150320701e-14</x:v>
      </x:c>
      <x:c r="E7" s="224" t="n">
        <x:v>0.01</x:v>
      </x:c>
      <x:c r="F7" s="224" t="str">
        <x:f>IF(ABS(D7)&lt;=E7,"OK","REVIEW")</x:f>
        <x:v>OK</x:v>
      </x:c>
      <x:c r="G7" s="224" t="str">
        <x:v>EV = equity value + debt – cash</x:v>
      </x:c>
    </x:row>
    <x:row r="8">
      <x:c r="A8" s="224" t="str">
        <x:v>DDOG current multiple tie</x:v>
      </x:c>
      <x:c r="B8" s="224" t="n">
        <x:f>'Summary'!A24-'Comps'!M6</x:f>
        <x:v>0</x:v>
      </x:c>
      <x:c r="C8" s="224" t="n">
        <x:v>0</x:v>
      </x:c>
      <x:c r="D8" s="224" t="n">
        <x:f>B8-C8</x:f>
        <x:v>0</x:v>
      </x:c>
      <x:c r="E8" s="224" t="n">
        <x:v>0.01</x:v>
      </x:c>
      <x:c r="F8" s="224" t="str">
        <x:f>IF(ABS(D8)&lt;=E8,"OK","REVIEW")</x:f>
        <x:v>OK</x:v>
      </x:c>
      <x:c r="G8" s="224" t="str">
        <x:v>Sensitivity current multiple equals comp table</x:v>
      </x:c>
    </x:row>
    <x:row r="9">
      <x:c r="A9" s="224" t="str">
        <x:v>Positive valuation outputs</x:v>
      </x:c>
      <x:c r="B9" s="224" t="n">
        <x:f>COUNTIF('Comps'!M6:N14,"&gt;0")</x:f>
        <x:v>18</x:v>
      </x:c>
      <x:c r="C9" s="224" t="n">
        <x:v>18</x:v>
      </x:c>
      <x:c r="D9" s="224" t="n">
        <x:f>B9-C9</x:f>
        <x:v>0</x:v>
      </x:c>
      <x:c r="E9" s="224" t="n">
        <x:v>0</x:v>
      </x:c>
      <x:c r="F9" s="224" t="str">
        <x:f>IF(ABS(D9)&lt;=E9,"OK","REVIEW")</x:f>
        <x:v>OK</x:v>
      </x:c>
      <x:c r="G9" s="224" t="str">
        <x:v>9 companies × 2 positive multiples</x:v>
      </x:c>
    </x:row>
    <x:row r="10">
      <x:c r="A10" s="232" t="str">
        <x:v>Source rows present</x:v>
      </x:c>
      <x:c r="B10" s="232" t="n">
        <x:f>COUNTA('Sources &amp; Audit'!A6:A51)</x:f>
        <x:v>46</x:v>
      </x:c>
      <x:c r="C10" s="232" t="n">
        <x:v>46</x:v>
      </x:c>
      <x:c r="D10" s="232" t="n">
        <x:f>B10-C10</x:f>
        <x:v>0</x:v>
      </x:c>
      <x:c r="E10" s="232" t="n">
        <x:v>0</x:v>
      </x:c>
      <x:c r="F10" s="232" t="str">
        <x:f>IF(ABS(D10)&lt;=E10,"OK","REVIEW")</x:f>
        <x:v>OK</x:v>
      </x:c>
      <x:c r="G10" s="232" t="str">
        <x:v>Five source rows per company plus DDOG primary cross-check</x:v>
      </x:c>
    </x:row>
    <x:row r="11">
      <x:c r="A11" s="208"/>
      <x:c r="B11" s="208"/>
      <x:c r="C11" s="208"/>
      <x:c r="D11" s="208"/>
      <x:c r="E11" s="208"/>
      <x:c r="F11" s="208"/>
      <x:c r="G11" s="208"/>
    </x:row>
    <x:row r="12">
      <x:c r="A12" s="349" t="str">
        <x:v>Overall model status</x:v>
      </x:c>
      <x:c r="B12" s="350"/>
      <x:c r="C12" s="350"/>
      <x:c r="D12" s="350"/>
      <x:c r="E12" s="350"/>
      <x:c r="F12" s="350" t="str">
        <x:f>IF(COUNTIF(F5:F10,"&lt;&gt;OK")=0,"OK","REVIEW")</x:f>
        <x:v>OK</x:v>
      </x:c>
      <x:c r="G12" s="351"/>
    </x:row>
  </x:sheetData>
  <x:mergeCells>
    <x:mergeCell ref="A1:G1"/>
    <x:mergeCell ref="A2:G2"/>
    <x:mergeCell ref="A12:E12"/>
    <x:mergeCell ref="F12:G12"/>
  </x:mergeCells>
  <x:conditionalFormatting sqref="F5:F10">
    <x:cfRule type="containsText" dxfId="1" priority="1" operator="containsText" text="OK"/>
    <x:cfRule type="containsText" dxfId="2" priority="2" operator="containsText" text="REVIEW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6" hidden="0" customWidth="1"/>
    <x:col min="4" max="4" width="18" hidden="0" customWidth="1"/>
    <x:col min="5" max="5" width="28" hidden="0" customWidth="1"/>
    <x:col min="6" max="6" width="70" hidden="0" customWidth="1"/>
    <x:col min="7" max="7" width="42" hidden="0" customWidth="1"/>
  </x:cols>
  <x:sheetData>
    <x:row r="1" ht="34" customHeight="1">
      <x:c r="A1" s="167" t="str">
        <x:v>Sources &amp; audit trail</x:v>
      </x:c>
      <x:c r="B1" s="167" t="str">
        <x:v>Sources &amp; audit trail</x:v>
      </x:c>
      <x:c r="C1" s="167" t="str">
        <x:v>Sources &amp; audit trail</x:v>
      </x:c>
      <x:c r="D1" s="167" t="str">
        <x:v>Sources &amp; audit trail</x:v>
      </x:c>
      <x:c r="E1" s="167" t="str">
        <x:v>Sources &amp; audit trail</x:v>
      </x:c>
      <x:c r="F1" s="167" t="str">
        <x:v>Sources &amp; audit trail</x:v>
      </x:c>
      <x:c r="G1" s="167" t="str">
        <x:v>Sources &amp; audit trail</x:v>
      </x:c>
    </x:row>
    <x:row r="2" ht="34" customHeight="1">
      <x:c r="A2" s="168" t="str">
        <x:v>Third-party datasets are appropriate for a screening comp, but all material figures should be re-verified against filings or a licensed consensus platform before an investment decision.</x:v>
      </x:c>
      <x:c r="B2" s="168" t="str">
        <x:v>Third-party datasets are appropriate for a screening comp, but all material figures should be re-verified against filings or a licensed consensus platform before an investment decision.</x:v>
      </x:c>
      <x:c r="C2" s="168" t="str">
        <x:v>Third-party datasets are appropriate for a screening comp, but all material figures should be re-verified against filings or a licensed consensus platform before an investment decision.</x:v>
      </x:c>
      <x:c r="D2" s="168" t="str">
        <x:v>Third-party datasets are appropriate for a screening comp, but all material figures should be re-verified against filings or a licensed consensus platform before an investment decision.</x:v>
      </x:c>
      <x:c r="E2" s="168" t="str">
        <x:v>Third-party datasets are appropriate for a screening comp, but all material figures should be re-verified against filings or a licensed consensus platform before an investment decision.</x:v>
      </x:c>
      <x:c r="F2" s="168" t="str">
        <x:v>Third-party datasets are appropriate for a screening comp, but all material figures should be re-verified against filings or a licensed consensus platform before an investment decision.</x:v>
      </x:c>
      <x:c r="G2" s="168" t="str">
        <x:v>Third-party datasets are appropriate for a screening comp, but all material figures should be re-verified against filings or a licensed consensus platform before an investment decision.</x:v>
      </x:c>
    </x:row>
    <x:row r="3">
      <x:c r="A3" s="208"/>
      <x:c r="B3" s="208"/>
      <x:c r="C3" s="208"/>
      <x:c r="D3" s="208"/>
      <x:c r="E3" s="208"/>
      <x:c r="F3" s="208"/>
      <x:c r="G3" s="208"/>
    </x:row>
    <x:row r="4">
      <x:c r="A4" s="208"/>
      <x:c r="B4" s="208"/>
      <x:c r="C4" s="208"/>
      <x:c r="D4" s="208"/>
      <x:c r="E4" s="208"/>
      <x:c r="F4" s="208"/>
      <x:c r="G4" s="208"/>
    </x:row>
    <x:row r="5" ht="34" customHeight="1">
      <x:c r="A5" s="187" t="str">
        <x:v>Source ID</x:v>
      </x:c>
      <x:c r="B5" s="187" t="str">
        <x:v>Company</x:v>
      </x:c>
      <x:c r="C5" s="187" t="str">
        <x:v>Data used</x:v>
      </x:c>
      <x:c r="D5" s="187" t="str">
        <x:v>As-of / period</x:v>
      </x:c>
      <x:c r="E5" s="187" t="str">
        <x:v>Provider</x:v>
      </x:c>
      <x:c r="F5" s="187" t="str">
        <x:v>URL</x:v>
      </x:c>
      <x:c r="G5" s="187" t="str">
        <x:v>Audit note</x:v>
      </x:c>
    </x:row>
    <x:row r="6">
      <x:c r="A6" s="343" t="str">
        <x:v>DDOG-MKT</x:v>
      </x:c>
      <x:c r="B6" s="343" t="str">
        <x:v>Datadog</x:v>
      </x:c>
      <x:c r="C6" s="343" t="str">
        <x:v>Price / market cap</x:v>
      </x:c>
      <x:c r="D6" s="343" t="str">
        <x:v>2026-07-31 close</x:v>
      </x:c>
      <x:c r="E6" s="343" t="str">
        <x:v>Market snapshot / StockAnalysis</x:v>
      </x:c>
      <x:c r="F6" s="343" t="str">
        <x:v>https://stockanalysis.com/stocks/ddog/</x:v>
      </x:c>
      <x:c r="G6" s="343" t="str">
        <x:v>One valuation date for all companies</x:v>
      </x:c>
    </x:row>
    <x:row r="7">
      <x:c r="A7" s="344" t="str">
        <x:v>DDOG-IS</x:v>
      </x:c>
      <x:c r="B7" s="344" t="str">
        <x:v>Datadog</x:v>
      </x:c>
      <x:c r="C7" s="344" t="str">
        <x:v>Quarterly revenue, gross profit, GAAP operating income, shares</x:v>
      </x:c>
      <x:c r="D7" s="344" t="str">
        <x:v>2026-03-31</x:v>
      </x:c>
      <x:c r="E7" s="344" t="str">
        <x:v>Fiscal.ai via StockAnalysis</x:v>
      </x:c>
      <x:c r="F7" s="344" t="str">
        <x:v>https://stockanalysis.com/stocks/ddog/financials/income-statement/?p=quarterly</x:v>
      </x:c>
      <x:c r="G7" s="344" t="str">
        <x:v>Latest four quarters summed for LTM</x:v>
      </x:c>
    </x:row>
    <x:row r="8">
      <x:c r="A8" s="344" t="str">
        <x:v>DDOG-CF</x:v>
      </x:c>
      <x:c r="B8" s="344" t="str">
        <x:v>Datadog</x:v>
      </x:c>
      <x:c r="C8" s="344" t="str">
        <x:v>CFO, capex, capitalized intangibles/software, SBC</x:v>
      </x:c>
      <x:c r="D8" s="344" t="str">
        <x:v>2026-03-31</x:v>
      </x:c>
      <x:c r="E8" s="344" t="str">
        <x:v>Fiscal.ai via StockAnalysis</x:v>
      </x:c>
      <x:c r="F8" s="344" t="str">
        <x:v>https://stockanalysis.com/stocks/ddog/financials/cash-flow-statement/?p=quarterly</x:v>
      </x:c>
      <x:c r="G8" s="344" t="str">
        <x:v>Standardized FCF calculated in workbook</x:v>
      </x:c>
    </x:row>
    <x:row r="9">
      <x:c r="A9" s="344" t="str">
        <x:v>DDOG-BS</x:v>
      </x:c>
      <x:c r="B9" s="344" t="str">
        <x:v>Datadog</x:v>
      </x:c>
      <x:c r="C9" s="344" t="str">
        <x:v>Cash + short-term investments, debt</x:v>
      </x:c>
      <x:c r="D9" s="344" t="str">
        <x:v>2026-03-31</x:v>
      </x:c>
      <x:c r="E9" s="344" t="str">
        <x:v>Fiscal.ai via StockAnalysis</x:v>
      </x:c>
      <x:c r="F9" s="344" t="str">
        <x:v>https://stockanalysis.com/stocks/ddog/financials/balance-sheet/?p=quarterly</x:v>
      </x:c>
      <x:c r="G9" s="344" t="str">
        <x:v>Debt includes lease liabilities where provider classifies them as debt</x:v>
      </x:c>
    </x:row>
    <x:row r="10">
      <x:c r="A10" s="344" t="str">
        <x:v>DDOG-FWD</x:v>
      </x:c>
      <x:c r="B10" s="344" t="str">
        <x:v>Datadog</x:v>
      </x:c>
      <x:c r="C10" s="344" t="str">
        <x:v>Current/next FY revenue growth and current FY FCF estimate</x:v>
      </x:c>
      <x:c r="D10" s="344" t="str">
        <x:v>2026-07-31</x:v>
      </x:c>
      <x:c r="E10" s="344" t="str">
        <x:v>S&amp;P Global MI via StockAnalysis</x:v>
      </x:c>
      <x:c r="F10" s="344" t="str">
        <x:v>https://stockanalysis.com/stocks/ddog/forecast/</x:v>
      </x:c>
      <x:c r="G10" s="344" t="str">
        <x:v>Third-party consensus; NTM is a calendarized proxy</x:v>
      </x:c>
    </x:row>
    <x:row r="11">
      <x:c r="A11" s="344" t="str">
        <x:v>DT-MKT</x:v>
      </x:c>
      <x:c r="B11" s="344" t="str">
        <x:v>Dynatrace</x:v>
      </x:c>
      <x:c r="C11" s="344" t="str">
        <x:v>Price / market cap</x:v>
      </x:c>
      <x:c r="D11" s="344" t="str">
        <x:v>2026-07-31 close</x:v>
      </x:c>
      <x:c r="E11" s="344" t="str">
        <x:v>Market snapshot / StockAnalysis</x:v>
      </x:c>
      <x:c r="F11" s="344" t="str">
        <x:v>https://stockanalysis.com/stocks/dt/</x:v>
      </x:c>
      <x:c r="G11" s="344" t="str">
        <x:v>One valuation date for all companies</x:v>
      </x:c>
    </x:row>
    <x:row r="12">
      <x:c r="A12" s="344" t="str">
        <x:v>DT-IS</x:v>
      </x:c>
      <x:c r="B12" s="344" t="str">
        <x:v>Dynatrace</x:v>
      </x:c>
      <x:c r="C12" s="344" t="str">
        <x:v>Quarterly revenue, gross profit, GAAP operating income, shares</x:v>
      </x:c>
      <x:c r="D12" s="344" t="str">
        <x:v>2026-03-31</x:v>
      </x:c>
      <x:c r="E12" s="344" t="str">
        <x:v>Fiscal.ai via StockAnalysis</x:v>
      </x:c>
      <x:c r="F12" s="344" t="str">
        <x:v>https://stockanalysis.com/stocks/dt/financials/income-statement/?p=quarterly</x:v>
      </x:c>
      <x:c r="G12" s="344" t="str">
        <x:v>Latest four quarters summed for LTM</x:v>
      </x:c>
    </x:row>
    <x:row r="13">
      <x:c r="A13" s="344" t="str">
        <x:v>DT-CF</x:v>
      </x:c>
      <x:c r="B13" s="344" t="str">
        <x:v>Dynatrace</x:v>
      </x:c>
      <x:c r="C13" s="344" t="str">
        <x:v>CFO, capex, capitalized intangibles/software, SBC</x:v>
      </x:c>
      <x:c r="D13" s="344" t="str">
        <x:v>2026-03-31</x:v>
      </x:c>
      <x:c r="E13" s="344" t="str">
        <x:v>Fiscal.ai via StockAnalysis</x:v>
      </x:c>
      <x:c r="F13" s="344" t="str">
        <x:v>https://stockanalysis.com/stocks/dt/financials/cash-flow-statement/?p=quarterly</x:v>
      </x:c>
      <x:c r="G13" s="344" t="str">
        <x:v>Standardized FCF calculated in workbook</x:v>
      </x:c>
    </x:row>
    <x:row r="14">
      <x:c r="A14" s="344" t="str">
        <x:v>DT-BS</x:v>
      </x:c>
      <x:c r="B14" s="344" t="str">
        <x:v>Dynatrace</x:v>
      </x:c>
      <x:c r="C14" s="344" t="str">
        <x:v>Cash + short-term investments, debt</x:v>
      </x:c>
      <x:c r="D14" s="344" t="str">
        <x:v>2026-03-31</x:v>
      </x:c>
      <x:c r="E14" s="344" t="str">
        <x:v>Fiscal.ai via StockAnalysis</x:v>
      </x:c>
      <x:c r="F14" s="344" t="str">
        <x:v>https://stockanalysis.com/stocks/dt/financials/balance-sheet/?p=quarterly</x:v>
      </x:c>
      <x:c r="G14" s="344" t="str">
        <x:v>Debt includes lease liabilities where provider classifies them as debt</x:v>
      </x:c>
    </x:row>
    <x:row r="15">
      <x:c r="A15" s="344" t="str">
        <x:v>DT-FWD</x:v>
      </x:c>
      <x:c r="B15" s="344" t="str">
        <x:v>Dynatrace</x:v>
      </x:c>
      <x:c r="C15" s="344" t="str">
        <x:v>Current/next FY revenue growth and current FY FCF estimate</x:v>
      </x:c>
      <x:c r="D15" s="344" t="str">
        <x:v>2026-07-28</x:v>
      </x:c>
      <x:c r="E15" s="344" t="str">
        <x:v>S&amp;P Global MI via StockAnalysis</x:v>
      </x:c>
      <x:c r="F15" s="344" t="str">
        <x:v>https://stockanalysis.com/stocks/dt/forecast/</x:v>
      </x:c>
      <x:c r="G15" s="344" t="str">
        <x:v>Third-party consensus; NTM is a calendarized proxy</x:v>
      </x:c>
    </x:row>
    <x:row r="16">
      <x:c r="A16" s="344" t="str">
        <x:v>ESTC-MKT</x:v>
      </x:c>
      <x:c r="B16" s="344" t="str">
        <x:v>Elastic</x:v>
      </x:c>
      <x:c r="C16" s="344" t="str">
        <x:v>Price / market cap</x:v>
      </x:c>
      <x:c r="D16" s="344" t="str">
        <x:v>2026-07-31 close</x:v>
      </x:c>
      <x:c r="E16" s="344" t="str">
        <x:v>Market snapshot / StockAnalysis</x:v>
      </x:c>
      <x:c r="F16" s="344" t="str">
        <x:v>https://stockanalysis.com/stocks/estc/</x:v>
      </x:c>
      <x:c r="G16" s="344" t="str">
        <x:v>One valuation date for all companies</x:v>
      </x:c>
    </x:row>
    <x:row r="17">
      <x:c r="A17" s="344" t="str">
        <x:v>ESTC-IS</x:v>
      </x:c>
      <x:c r="B17" s="344" t="str">
        <x:v>Elastic</x:v>
      </x:c>
      <x:c r="C17" s="344" t="str">
        <x:v>Quarterly revenue, gross profit, GAAP operating income, shares</x:v>
      </x:c>
      <x:c r="D17" s="344" t="str">
        <x:v>2026-04-30</x:v>
      </x:c>
      <x:c r="E17" s="344" t="str">
        <x:v>Fiscal.ai via StockAnalysis</x:v>
      </x:c>
      <x:c r="F17" s="344" t="str">
        <x:v>https://stockanalysis.com/stocks/estc/financials/income-statement/?p=quarterly</x:v>
      </x:c>
      <x:c r="G17" s="344" t="str">
        <x:v>Latest four quarters summed for LTM</x:v>
      </x:c>
    </x:row>
    <x:row r="18">
      <x:c r="A18" s="344" t="str">
        <x:v>ESTC-CF</x:v>
      </x:c>
      <x:c r="B18" s="344" t="str">
        <x:v>Elastic</x:v>
      </x:c>
      <x:c r="C18" s="344" t="str">
        <x:v>CFO, capex, capitalized intangibles/software, SBC</x:v>
      </x:c>
      <x:c r="D18" s="344" t="str">
        <x:v>2026-04-30</x:v>
      </x:c>
      <x:c r="E18" s="344" t="str">
        <x:v>Fiscal.ai via StockAnalysis</x:v>
      </x:c>
      <x:c r="F18" s="344" t="str">
        <x:v>https://stockanalysis.com/stocks/estc/financials/cash-flow-statement/?p=quarterly</x:v>
      </x:c>
      <x:c r="G18" s="344" t="str">
        <x:v>Standardized FCF calculated in workbook</x:v>
      </x:c>
    </x:row>
    <x:row r="19">
      <x:c r="A19" s="344" t="str">
        <x:v>ESTC-BS</x:v>
      </x:c>
      <x:c r="B19" s="344" t="str">
        <x:v>Elastic</x:v>
      </x:c>
      <x:c r="C19" s="344" t="str">
        <x:v>Cash + short-term investments, debt</x:v>
      </x:c>
      <x:c r="D19" s="344" t="str">
        <x:v>2026-04-30</x:v>
      </x:c>
      <x:c r="E19" s="344" t="str">
        <x:v>Fiscal.ai via StockAnalysis</x:v>
      </x:c>
      <x:c r="F19" s="344" t="str">
        <x:v>https://stockanalysis.com/stocks/estc/financials/balance-sheet/?p=quarterly</x:v>
      </x:c>
      <x:c r="G19" s="344" t="str">
        <x:v>Debt includes lease liabilities where provider classifies them as debt</x:v>
      </x:c>
    </x:row>
    <x:row r="20">
      <x:c r="A20" s="344" t="str">
        <x:v>ESTC-FWD</x:v>
      </x:c>
      <x:c r="B20" s="344" t="str">
        <x:v>Elastic</x:v>
      </x:c>
      <x:c r="C20" s="344" t="str">
        <x:v>Current/next FY revenue growth and current FY FCF estimate</x:v>
      </x:c>
      <x:c r="D20" s="344" t="str">
        <x:v>2026-07-22</x:v>
      </x:c>
      <x:c r="E20" s="344" t="str">
        <x:v>S&amp;P Global MI via StockAnalysis</x:v>
      </x:c>
      <x:c r="F20" s="344" t="str">
        <x:v>https://stockanalysis.com/stocks/estc/forecast/</x:v>
      </x:c>
      <x:c r="G20" s="344" t="str">
        <x:v>Third-party consensus; NTM is a calendarized proxy</x:v>
      </x:c>
    </x:row>
    <x:row r="21">
      <x:c r="A21" s="344" t="str">
        <x:v>NET-MKT</x:v>
      </x:c>
      <x:c r="B21" s="344" t="str">
        <x:v>Cloudflare</x:v>
      </x:c>
      <x:c r="C21" s="344" t="str">
        <x:v>Price / market cap</x:v>
      </x:c>
      <x:c r="D21" s="344" t="str">
        <x:v>2026-07-31 close</x:v>
      </x:c>
      <x:c r="E21" s="344" t="str">
        <x:v>Market snapshot / StockAnalysis</x:v>
      </x:c>
      <x:c r="F21" s="344" t="str">
        <x:v>https://stockanalysis.com/stocks/net/</x:v>
      </x:c>
      <x:c r="G21" s="344" t="str">
        <x:v>One valuation date for all companies</x:v>
      </x:c>
    </x:row>
    <x:row r="22">
      <x:c r="A22" s="344" t="str">
        <x:v>NET-IS</x:v>
      </x:c>
      <x:c r="B22" s="344" t="str">
        <x:v>Cloudflare</x:v>
      </x:c>
      <x:c r="C22" s="344" t="str">
        <x:v>Quarterly revenue, gross profit, GAAP operating income, shares</x:v>
      </x:c>
      <x:c r="D22" s="344" t="str">
        <x:v>2026-03-31</x:v>
      </x:c>
      <x:c r="E22" s="344" t="str">
        <x:v>Fiscal.ai via StockAnalysis</x:v>
      </x:c>
      <x:c r="F22" s="344" t="str">
        <x:v>https://stockanalysis.com/stocks/net/financials/income-statement/?p=quarterly</x:v>
      </x:c>
      <x:c r="G22" s="344" t="str">
        <x:v>Latest four quarters summed for LTM</x:v>
      </x:c>
    </x:row>
    <x:row r="23">
      <x:c r="A23" s="344" t="str">
        <x:v>NET-CF</x:v>
      </x:c>
      <x:c r="B23" s="344" t="str">
        <x:v>Cloudflare</x:v>
      </x:c>
      <x:c r="C23" s="344" t="str">
        <x:v>CFO, capex, capitalized intangibles/software, SBC</x:v>
      </x:c>
      <x:c r="D23" s="344" t="str">
        <x:v>2026-03-31</x:v>
      </x:c>
      <x:c r="E23" s="344" t="str">
        <x:v>Fiscal.ai via StockAnalysis</x:v>
      </x:c>
      <x:c r="F23" s="344" t="str">
        <x:v>https://stockanalysis.com/stocks/net/financials/cash-flow-statement/?p=quarterly</x:v>
      </x:c>
      <x:c r="G23" s="344" t="str">
        <x:v>Standardized FCF calculated in workbook</x:v>
      </x:c>
    </x:row>
    <x:row r="24">
      <x:c r="A24" s="344" t="str">
        <x:v>NET-BS</x:v>
      </x:c>
      <x:c r="B24" s="344" t="str">
        <x:v>Cloudflare</x:v>
      </x:c>
      <x:c r="C24" s="344" t="str">
        <x:v>Cash + short-term investments, debt</x:v>
      </x:c>
      <x:c r="D24" s="344" t="str">
        <x:v>2026-03-31</x:v>
      </x:c>
      <x:c r="E24" s="344" t="str">
        <x:v>Fiscal.ai via StockAnalysis</x:v>
      </x:c>
      <x:c r="F24" s="344" t="str">
        <x:v>https://stockanalysis.com/stocks/net/financials/balance-sheet/?p=quarterly</x:v>
      </x:c>
      <x:c r="G24" s="344" t="str">
        <x:v>Debt includes lease liabilities where provider classifies them as debt</x:v>
      </x:c>
    </x:row>
    <x:row r="25">
      <x:c r="A25" s="344" t="str">
        <x:v>NET-FWD</x:v>
      </x:c>
      <x:c r="B25" s="344" t="str">
        <x:v>Cloudflare</x:v>
      </x:c>
      <x:c r="C25" s="344" t="str">
        <x:v>Current/next FY revenue growth and current FY FCF estimate</x:v>
      </x:c>
      <x:c r="D25" s="344" t="str">
        <x:v>2026-07-29</x:v>
      </x:c>
      <x:c r="E25" s="344" t="str">
        <x:v>S&amp;P Global MI via StockAnalysis</x:v>
      </x:c>
      <x:c r="F25" s="344" t="str">
        <x:v>https://stockanalysis.com/stocks/net/forecast/</x:v>
      </x:c>
      <x:c r="G25" s="344" t="str">
        <x:v>Third-party consensus; NTM is a calendarized proxy</x:v>
      </x:c>
    </x:row>
    <x:row r="26">
      <x:c r="A26" s="344" t="str">
        <x:v>MDB-MKT</x:v>
      </x:c>
      <x:c r="B26" s="344" t="str">
        <x:v>MongoDB</x:v>
      </x:c>
      <x:c r="C26" s="344" t="str">
        <x:v>Price / market cap</x:v>
      </x:c>
      <x:c r="D26" s="344" t="str">
        <x:v>2026-07-31 close</x:v>
      </x:c>
      <x:c r="E26" s="344" t="str">
        <x:v>Market snapshot / StockAnalysis</x:v>
      </x:c>
      <x:c r="F26" s="344" t="str">
        <x:v>https://stockanalysis.com/stocks/mdb/</x:v>
      </x:c>
      <x:c r="G26" s="344" t="str">
        <x:v>One valuation date for all companies</x:v>
      </x:c>
    </x:row>
    <x:row r="27">
      <x:c r="A27" s="344" t="str">
        <x:v>MDB-IS</x:v>
      </x:c>
      <x:c r="B27" s="344" t="str">
        <x:v>MongoDB</x:v>
      </x:c>
      <x:c r="C27" s="344" t="str">
        <x:v>Quarterly revenue, gross profit, GAAP operating income, shares</x:v>
      </x:c>
      <x:c r="D27" s="344" t="str">
        <x:v>2026-04-30</x:v>
      </x:c>
      <x:c r="E27" s="344" t="str">
        <x:v>Fiscal.ai via StockAnalysis</x:v>
      </x:c>
      <x:c r="F27" s="344" t="str">
        <x:v>https://stockanalysis.com/stocks/mdb/financials/income-statement/?p=quarterly</x:v>
      </x:c>
      <x:c r="G27" s="344" t="str">
        <x:v>Latest four quarters summed for LTM</x:v>
      </x:c>
    </x:row>
    <x:row r="28">
      <x:c r="A28" s="344" t="str">
        <x:v>MDB-CF</x:v>
      </x:c>
      <x:c r="B28" s="344" t="str">
        <x:v>MongoDB</x:v>
      </x:c>
      <x:c r="C28" s="344" t="str">
        <x:v>CFO, capex, capitalized intangibles/software, SBC</x:v>
      </x:c>
      <x:c r="D28" s="344" t="str">
        <x:v>2026-04-30</x:v>
      </x:c>
      <x:c r="E28" s="344" t="str">
        <x:v>Fiscal.ai via StockAnalysis</x:v>
      </x:c>
      <x:c r="F28" s="344" t="str">
        <x:v>https://stockanalysis.com/stocks/mdb/financials/cash-flow-statement/?p=quarterly</x:v>
      </x:c>
      <x:c r="G28" s="344" t="str">
        <x:v>Standardized FCF calculated in workbook</x:v>
      </x:c>
    </x:row>
    <x:row r="29">
      <x:c r="A29" s="344" t="str">
        <x:v>MDB-BS</x:v>
      </x:c>
      <x:c r="B29" s="344" t="str">
        <x:v>MongoDB</x:v>
      </x:c>
      <x:c r="C29" s="344" t="str">
        <x:v>Cash + short-term investments, debt</x:v>
      </x:c>
      <x:c r="D29" s="344" t="str">
        <x:v>2026-04-30</x:v>
      </x:c>
      <x:c r="E29" s="344" t="str">
        <x:v>Fiscal.ai via StockAnalysis</x:v>
      </x:c>
      <x:c r="F29" s="344" t="str">
        <x:v>https://stockanalysis.com/stocks/mdb/financials/balance-sheet/?p=quarterly</x:v>
      </x:c>
      <x:c r="G29" s="344" t="str">
        <x:v>Debt includes lease liabilities where provider classifies them as debt</x:v>
      </x:c>
    </x:row>
    <x:row r="30">
      <x:c r="A30" s="344" t="str">
        <x:v>MDB-FWD</x:v>
      </x:c>
      <x:c r="B30" s="344" t="str">
        <x:v>MongoDB</x:v>
      </x:c>
      <x:c r="C30" s="344" t="str">
        <x:v>Current/next FY revenue growth and current FY FCF estimate</x:v>
      </x:c>
      <x:c r="D30" s="344" t="str">
        <x:v>2026-07-27</x:v>
      </x:c>
      <x:c r="E30" s="344" t="str">
        <x:v>S&amp;P Global MI via StockAnalysis</x:v>
      </x:c>
      <x:c r="F30" s="344" t="str">
        <x:v>https://stockanalysis.com/stocks/mdb/forecast/</x:v>
      </x:c>
      <x:c r="G30" s="344" t="str">
        <x:v>Third-party consensus; NTM is a calendarized proxy</x:v>
      </x:c>
    </x:row>
    <x:row r="31">
      <x:c r="A31" s="344" t="str">
        <x:v>SNOW-MKT</x:v>
      </x:c>
      <x:c r="B31" s="344" t="str">
        <x:v>Snowflake</x:v>
      </x:c>
      <x:c r="C31" s="344" t="str">
        <x:v>Price / market cap</x:v>
      </x:c>
      <x:c r="D31" s="344" t="str">
        <x:v>2026-07-31 close</x:v>
      </x:c>
      <x:c r="E31" s="344" t="str">
        <x:v>Market snapshot / StockAnalysis</x:v>
      </x:c>
      <x:c r="F31" s="344" t="str">
        <x:v>https://stockanalysis.com/stocks/snow/</x:v>
      </x:c>
      <x:c r="G31" s="344" t="str">
        <x:v>One valuation date for all companies</x:v>
      </x:c>
    </x:row>
    <x:row r="32">
      <x:c r="A32" s="344" t="str">
        <x:v>SNOW-IS</x:v>
      </x:c>
      <x:c r="B32" s="344" t="str">
        <x:v>Snowflake</x:v>
      </x:c>
      <x:c r="C32" s="344" t="str">
        <x:v>Quarterly revenue, gross profit, GAAP operating income, shares</x:v>
      </x:c>
      <x:c r="D32" s="344" t="str">
        <x:v>2026-04-30</x:v>
      </x:c>
      <x:c r="E32" s="344" t="str">
        <x:v>Fiscal.ai via StockAnalysis</x:v>
      </x:c>
      <x:c r="F32" s="344" t="str">
        <x:v>https://stockanalysis.com/stocks/snow/financials/income-statement/?p=quarterly</x:v>
      </x:c>
      <x:c r="G32" s="344" t="str">
        <x:v>Latest four quarters summed for LTM</x:v>
      </x:c>
    </x:row>
    <x:row r="33">
      <x:c r="A33" s="344" t="str">
        <x:v>SNOW-CF</x:v>
      </x:c>
      <x:c r="B33" s="344" t="str">
        <x:v>Snowflake</x:v>
      </x:c>
      <x:c r="C33" s="344" t="str">
        <x:v>CFO, capex, capitalized intangibles/software, SBC</x:v>
      </x:c>
      <x:c r="D33" s="344" t="str">
        <x:v>2026-04-30</x:v>
      </x:c>
      <x:c r="E33" s="344" t="str">
        <x:v>Fiscal.ai via StockAnalysis</x:v>
      </x:c>
      <x:c r="F33" s="344" t="str">
        <x:v>https://stockanalysis.com/stocks/snow/financials/cash-flow-statement/?p=quarterly</x:v>
      </x:c>
      <x:c r="G33" s="344" t="str">
        <x:v>Standardized FCF calculated in workbook</x:v>
      </x:c>
    </x:row>
    <x:row r="34">
      <x:c r="A34" s="344" t="str">
        <x:v>SNOW-BS</x:v>
      </x:c>
      <x:c r="B34" s="344" t="str">
        <x:v>Snowflake</x:v>
      </x:c>
      <x:c r="C34" s="344" t="str">
        <x:v>Cash + short-term investments, debt</x:v>
      </x:c>
      <x:c r="D34" s="344" t="str">
        <x:v>2026-04-30</x:v>
      </x:c>
      <x:c r="E34" s="344" t="str">
        <x:v>Fiscal.ai via StockAnalysis</x:v>
      </x:c>
      <x:c r="F34" s="344" t="str">
        <x:v>https://stockanalysis.com/stocks/snow/financials/balance-sheet/?p=quarterly</x:v>
      </x:c>
      <x:c r="G34" s="344" t="str">
        <x:v>Debt includes lease liabilities where provider classifies them as debt</x:v>
      </x:c>
    </x:row>
    <x:row r="35">
      <x:c r="A35" s="344" t="str">
        <x:v>SNOW-FWD</x:v>
      </x:c>
      <x:c r="B35" s="344" t="str">
        <x:v>Snowflake</x:v>
      </x:c>
      <x:c r="C35" s="344" t="str">
        <x:v>Current/next FY revenue growth and current FY FCF estimate</x:v>
      </x:c>
      <x:c r="D35" s="344" t="str">
        <x:v>2026-07-22</x:v>
      </x:c>
      <x:c r="E35" s="344" t="str">
        <x:v>S&amp;P Global MI via StockAnalysis</x:v>
      </x:c>
      <x:c r="F35" s="344" t="str">
        <x:v>https://stockanalysis.com/stocks/snow/forecast/</x:v>
      </x:c>
      <x:c r="G35" s="344" t="str">
        <x:v>Third-party consensus; NTM is a calendarized proxy</x:v>
      </x:c>
    </x:row>
    <x:row r="36">
      <x:c r="A36" s="344" t="str">
        <x:v>CRWD-MKT</x:v>
      </x:c>
      <x:c r="B36" s="344" t="str">
        <x:v>CrowdStrike</x:v>
      </x:c>
      <x:c r="C36" s="344" t="str">
        <x:v>Price / market cap</x:v>
      </x:c>
      <x:c r="D36" s="344" t="str">
        <x:v>2026-07-31 close</x:v>
      </x:c>
      <x:c r="E36" s="344" t="str">
        <x:v>Market snapshot / StockAnalysis</x:v>
      </x:c>
      <x:c r="F36" s="344" t="str">
        <x:v>https://stockanalysis.com/stocks/crwd/</x:v>
      </x:c>
      <x:c r="G36" s="344" t="str">
        <x:v>One valuation date for all companies</x:v>
      </x:c>
    </x:row>
    <x:row r="37">
      <x:c r="A37" s="344" t="str">
        <x:v>CRWD-IS</x:v>
      </x:c>
      <x:c r="B37" s="344" t="str">
        <x:v>CrowdStrike</x:v>
      </x:c>
      <x:c r="C37" s="344" t="str">
        <x:v>Quarterly revenue, gross profit, GAAP operating income, shares</x:v>
      </x:c>
      <x:c r="D37" s="344" t="str">
        <x:v>2026-04-30</x:v>
      </x:c>
      <x:c r="E37" s="344" t="str">
        <x:v>Fiscal.ai via StockAnalysis</x:v>
      </x:c>
      <x:c r="F37" s="344" t="str">
        <x:v>https://stockanalysis.com/stocks/crwd/financials/income-statement/?p=quarterly</x:v>
      </x:c>
      <x:c r="G37" s="344" t="str">
        <x:v>Latest four quarters summed for LTM</x:v>
      </x:c>
    </x:row>
    <x:row r="38">
      <x:c r="A38" s="344" t="str">
        <x:v>CRWD-CF</x:v>
      </x:c>
      <x:c r="B38" s="344" t="str">
        <x:v>CrowdStrike</x:v>
      </x:c>
      <x:c r="C38" s="344" t="str">
        <x:v>CFO, capex, capitalized intangibles/software, SBC</x:v>
      </x:c>
      <x:c r="D38" s="344" t="str">
        <x:v>2026-04-30</x:v>
      </x:c>
      <x:c r="E38" s="344" t="str">
        <x:v>Fiscal.ai via StockAnalysis</x:v>
      </x:c>
      <x:c r="F38" s="344" t="str">
        <x:v>https://stockanalysis.com/stocks/crwd/financials/cash-flow-statement/?p=quarterly</x:v>
      </x:c>
      <x:c r="G38" s="344" t="str">
        <x:v>Standardized FCF calculated in workbook</x:v>
      </x:c>
    </x:row>
    <x:row r="39">
      <x:c r="A39" s="344" t="str">
        <x:v>CRWD-BS</x:v>
      </x:c>
      <x:c r="B39" s="344" t="str">
        <x:v>CrowdStrike</x:v>
      </x:c>
      <x:c r="C39" s="344" t="str">
        <x:v>Cash + short-term investments, debt</x:v>
      </x:c>
      <x:c r="D39" s="344" t="str">
        <x:v>2026-04-30</x:v>
      </x:c>
      <x:c r="E39" s="344" t="str">
        <x:v>Fiscal.ai via StockAnalysis</x:v>
      </x:c>
      <x:c r="F39" s="344" t="str">
        <x:v>https://stockanalysis.com/stocks/crwd/financials/balance-sheet/?p=quarterly</x:v>
      </x:c>
      <x:c r="G39" s="344" t="str">
        <x:v>Debt includes lease liabilities where provider classifies them as debt</x:v>
      </x:c>
    </x:row>
    <x:row r="40">
      <x:c r="A40" s="344" t="str">
        <x:v>CRWD-FWD</x:v>
      </x:c>
      <x:c r="B40" s="344" t="str">
        <x:v>CrowdStrike</x:v>
      </x:c>
      <x:c r="C40" s="344" t="str">
        <x:v>Current/next FY revenue growth and current FY FCF estimate</x:v>
      </x:c>
      <x:c r="D40" s="344" t="str">
        <x:v>2026-07-27</x:v>
      </x:c>
      <x:c r="E40" s="344" t="str">
        <x:v>S&amp;P Global MI via StockAnalysis</x:v>
      </x:c>
      <x:c r="F40" s="344" t="str">
        <x:v>https://stockanalysis.com/stocks/crwd/forecast/</x:v>
      </x:c>
      <x:c r="G40" s="344" t="str">
        <x:v>Third-party consensus; NTM is a calendarized proxy</x:v>
      </x:c>
    </x:row>
    <x:row r="41">
      <x:c r="A41" s="344" t="str">
        <x:v>ZS-MKT</x:v>
      </x:c>
      <x:c r="B41" s="344" t="str">
        <x:v>Zscaler</x:v>
      </x:c>
      <x:c r="C41" s="344" t="str">
        <x:v>Price / market cap</x:v>
      </x:c>
      <x:c r="D41" s="344" t="str">
        <x:v>2026-07-31 close</x:v>
      </x:c>
      <x:c r="E41" s="344" t="str">
        <x:v>Market snapshot / StockAnalysis</x:v>
      </x:c>
      <x:c r="F41" s="344" t="str">
        <x:v>https://stockanalysis.com/stocks/zs/</x:v>
      </x:c>
      <x:c r="G41" s="344" t="str">
        <x:v>One valuation date for all companies</x:v>
      </x:c>
    </x:row>
    <x:row r="42">
      <x:c r="A42" s="344" t="str">
        <x:v>ZS-IS</x:v>
      </x:c>
      <x:c r="B42" s="344" t="str">
        <x:v>Zscaler</x:v>
      </x:c>
      <x:c r="C42" s="344" t="str">
        <x:v>Quarterly revenue, gross profit, GAAP operating income, shares</x:v>
      </x:c>
      <x:c r="D42" s="344" t="str">
        <x:v>2026-04-30</x:v>
      </x:c>
      <x:c r="E42" s="344" t="str">
        <x:v>Fiscal.ai via StockAnalysis</x:v>
      </x:c>
      <x:c r="F42" s="344" t="str">
        <x:v>https://stockanalysis.com/stocks/zs/financials/income-statement/?p=quarterly</x:v>
      </x:c>
      <x:c r="G42" s="344" t="str">
        <x:v>Latest four quarters summed for LTM</x:v>
      </x:c>
    </x:row>
    <x:row r="43">
      <x:c r="A43" s="344" t="str">
        <x:v>ZS-CF</x:v>
      </x:c>
      <x:c r="B43" s="344" t="str">
        <x:v>Zscaler</x:v>
      </x:c>
      <x:c r="C43" s="344" t="str">
        <x:v>CFO, capex, capitalized intangibles/software, SBC</x:v>
      </x:c>
      <x:c r="D43" s="344" t="str">
        <x:v>2026-04-30</x:v>
      </x:c>
      <x:c r="E43" s="344" t="str">
        <x:v>Fiscal.ai via StockAnalysis</x:v>
      </x:c>
      <x:c r="F43" s="344" t="str">
        <x:v>https://stockanalysis.com/stocks/zs/financials/cash-flow-statement/?p=quarterly</x:v>
      </x:c>
      <x:c r="G43" s="344" t="str">
        <x:v>Standardized FCF calculated in workbook</x:v>
      </x:c>
    </x:row>
    <x:row r="44">
      <x:c r="A44" s="344" t="str">
        <x:v>ZS-BS</x:v>
      </x:c>
      <x:c r="B44" s="344" t="str">
        <x:v>Zscaler</x:v>
      </x:c>
      <x:c r="C44" s="344" t="str">
        <x:v>Cash + short-term investments, debt</x:v>
      </x:c>
      <x:c r="D44" s="344" t="str">
        <x:v>2026-04-30</x:v>
      </x:c>
      <x:c r="E44" s="344" t="str">
        <x:v>Fiscal.ai via StockAnalysis</x:v>
      </x:c>
      <x:c r="F44" s="344" t="str">
        <x:v>https://stockanalysis.com/stocks/zs/financials/balance-sheet/?p=quarterly</x:v>
      </x:c>
      <x:c r="G44" s="344" t="str">
        <x:v>Debt includes lease liabilities where provider classifies them as debt</x:v>
      </x:c>
    </x:row>
    <x:row r="45">
      <x:c r="A45" s="344" t="str">
        <x:v>ZS-FWD</x:v>
      </x:c>
      <x:c r="B45" s="344" t="str">
        <x:v>Zscaler</x:v>
      </x:c>
      <x:c r="C45" s="344" t="str">
        <x:v>Current/next FY revenue growth and current FY FCF estimate</x:v>
      </x:c>
      <x:c r="D45" s="344" t="str">
        <x:v>2026-07-28</x:v>
      </x:c>
      <x:c r="E45" s="344" t="str">
        <x:v>S&amp;P Global MI via StockAnalysis</x:v>
      </x:c>
      <x:c r="F45" s="344" t="str">
        <x:v>https://stockanalysis.com/stocks/zs/forecast/</x:v>
      </x:c>
      <x:c r="G45" s="344" t="str">
        <x:v>Third-party consensus; NTM is a calendarized proxy</x:v>
      </x:c>
    </x:row>
    <x:row r="46">
      <x:c r="A46" s="344" t="str">
        <x:v>GTLB-MKT</x:v>
      </x:c>
      <x:c r="B46" s="344" t="str">
        <x:v>GitLab</x:v>
      </x:c>
      <x:c r="C46" s="344" t="str">
        <x:v>Price / market cap</x:v>
      </x:c>
      <x:c r="D46" s="344" t="str">
        <x:v>2026-07-31 close</x:v>
      </x:c>
      <x:c r="E46" s="344" t="str">
        <x:v>Market snapshot / StockAnalysis</x:v>
      </x:c>
      <x:c r="F46" s="344" t="str">
        <x:v>https://stockanalysis.com/stocks/gtlb/</x:v>
      </x:c>
      <x:c r="G46" s="344" t="str">
        <x:v>One valuation date for all companies</x:v>
      </x:c>
    </x:row>
    <x:row r="47">
      <x:c r="A47" s="344" t="str">
        <x:v>GTLB-IS</x:v>
      </x:c>
      <x:c r="B47" s="344" t="str">
        <x:v>GitLab</x:v>
      </x:c>
      <x:c r="C47" s="344" t="str">
        <x:v>Quarterly revenue, gross profit, GAAP operating income, shares</x:v>
      </x:c>
      <x:c r="D47" s="344" t="str">
        <x:v>2026-04-30</x:v>
      </x:c>
      <x:c r="E47" s="344" t="str">
        <x:v>Fiscal.ai via StockAnalysis</x:v>
      </x:c>
      <x:c r="F47" s="344" t="str">
        <x:v>https://stockanalysis.com/stocks/gtlb/financials/income-statement/?p=quarterly</x:v>
      </x:c>
      <x:c r="G47" s="344" t="str">
        <x:v>Latest four quarters summed for LTM</x:v>
      </x:c>
    </x:row>
    <x:row r="48">
      <x:c r="A48" s="344" t="str">
        <x:v>GTLB-CF</x:v>
      </x:c>
      <x:c r="B48" s="344" t="str">
        <x:v>GitLab</x:v>
      </x:c>
      <x:c r="C48" s="344" t="str">
        <x:v>CFO, capex, capitalized intangibles/software, SBC</x:v>
      </x:c>
      <x:c r="D48" s="344" t="str">
        <x:v>2026-04-30</x:v>
      </x:c>
      <x:c r="E48" s="344" t="str">
        <x:v>Fiscal.ai via StockAnalysis</x:v>
      </x:c>
      <x:c r="F48" s="344" t="str">
        <x:v>https://stockanalysis.com/stocks/gtlb/financials/cash-flow-statement/?p=quarterly</x:v>
      </x:c>
      <x:c r="G48" s="344" t="str">
        <x:v>Standardized FCF calculated in workbook</x:v>
      </x:c>
    </x:row>
    <x:row r="49">
      <x:c r="A49" s="344" t="str">
        <x:v>GTLB-BS</x:v>
      </x:c>
      <x:c r="B49" s="344" t="str">
        <x:v>GitLab</x:v>
      </x:c>
      <x:c r="C49" s="344" t="str">
        <x:v>Cash + short-term investments, debt</x:v>
      </x:c>
      <x:c r="D49" s="344" t="str">
        <x:v>2026-04-30</x:v>
      </x:c>
      <x:c r="E49" s="344" t="str">
        <x:v>Fiscal.ai via StockAnalysis</x:v>
      </x:c>
      <x:c r="F49" s="344" t="str">
        <x:v>https://stockanalysis.com/stocks/gtlb/financials/balance-sheet/?p=quarterly</x:v>
      </x:c>
      <x:c r="G49" s="344" t="str">
        <x:v>Debt includes lease liabilities where provider classifies them as debt</x:v>
      </x:c>
    </x:row>
    <x:row r="50">
      <x:c r="A50" s="344" t="str">
        <x:v>GTLB-FWD</x:v>
      </x:c>
      <x:c r="B50" s="344" t="str">
        <x:v>GitLab</x:v>
      </x:c>
      <x:c r="C50" s="344" t="str">
        <x:v>Current/next FY revenue growth and current FY FCF estimate</x:v>
      </x:c>
      <x:c r="D50" s="344" t="str">
        <x:v>2026-07-22</x:v>
      </x:c>
      <x:c r="E50" s="344" t="str">
        <x:v>S&amp;P Global MI via StockAnalysis</x:v>
      </x:c>
      <x:c r="F50" s="344" t="str">
        <x:v>https://stockanalysis.com/stocks/gtlb/forecast/</x:v>
      </x:c>
      <x:c r="G50" s="344" t="str">
        <x:v>Third-party consensus; NTM is a calendarized proxy</x:v>
      </x:c>
    </x:row>
    <x:row r="51">
      <x:c r="A51" s="345" t="str">
        <x:v>DDOG-IR</x:v>
      </x:c>
      <x:c r="B51" s="345" t="str">
        <x:v>Datadog</x:v>
      </x:c>
      <x:c r="C51" s="345" t="str">
        <x:v>Q1 2026 primary-source cross-check</x:v>
      </x:c>
      <x:c r="D51" s="345" t="str">
        <x:v>2026-03-31</x:v>
      </x:c>
      <x:c r="E51" s="345" t="str">
        <x:v>Datadog Investor Relations</x:v>
      </x:c>
      <x:c r="F51" s="345" t="str">
        <x:v>https://investors.datadoghq.com/news-releases/news-release-details/datadog-announces-first-quarter-2026-financial-results/</x:v>
      </x:c>
      <x:c r="G51" s="345" t="str">
        <x:v>Primary earnings release and FCF reconciliation</x:v>
      </x:c>
    </x:row>
  </x:sheetData>
  <x:mergeCells>
    <x:mergeCell ref="A1:G1"/>
    <x:mergeCell ref="A2:G2"/>
  </x:mergeCells>
  <x:pageMargins left="0.7" right="0.7" top="0.75" bottom="0.75" header="0.3" footer="0.3"/>
</x:worksheet>
</file>