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a5869475c14d57" /></Relationships>
</file>

<file path=xl/workbook.xml><?xml version="1.0" encoding="utf-8"?>
<x:workbook xmlns:x="http://schemas.openxmlformats.org/spreadsheetml/2006/main">
  <x:sheets>
    <x:sheet xmlns:r="http://schemas.openxmlformats.org/officeDocument/2006/relationships" name="Cover" sheetId="1" r:id="R133a590c735e4dbb"/>
    <x:sheet xmlns:r="http://schemas.openxmlformats.org/officeDocument/2006/relationships" name="Quarterly_Financials" sheetId="2" r:id="Rbe38d6fdcd014854"/>
    <x:sheet xmlns:r="http://schemas.openxmlformats.org/officeDocument/2006/relationships" name="Annual_Financials" sheetId="3" r:id="R9d7cd5105a274ec1"/>
    <x:sheet xmlns:r="http://schemas.openxmlformats.org/officeDocument/2006/relationships" name="Product_Adoption" sheetId="4" r:id="R641fd8fe1d0249ce"/>
    <x:sheet xmlns:r="http://schemas.openxmlformats.org/officeDocument/2006/relationships" name="Product_ARR" sheetId="5" r:id="Re9784e51c9be4d01"/>
    <x:sheet xmlns:r="http://schemas.openxmlformats.org/officeDocument/2006/relationships" name="Pricing_Current" sheetId="6" r:id="Rfd46f92779a0497b"/>
    <x:sheet xmlns:r="http://schemas.openxmlformats.org/officeDocument/2006/relationships" name="Cost_Drivers" sheetId="7" r:id="Rd6b7154a3a8f4f2f"/>
    <x:sheet xmlns:r="http://schemas.openxmlformats.org/officeDocument/2006/relationships" name="Geography" sheetId="8" r:id="Rcfb5e588ae82482b"/>
    <x:sheet xmlns:r="http://schemas.openxmlformats.org/officeDocument/2006/relationships" name="Margin_Framework" sheetId="9" r:id="R7f808744a1934fc0"/>
    <x:sheet xmlns:r="http://schemas.openxmlformats.org/officeDocument/2006/relationships" name="Source_Index" sheetId="10" r:id="R96b8a4e4131d4822"/>
    <x:sheet xmlns:r="http://schemas.openxmlformats.org/officeDocument/2006/relationships" name="QA_Flags" sheetId="11" r:id="Rfa8c1d11abb442ce"/>
    <x:sheet xmlns:r="http://schemas.openxmlformats.org/officeDocument/2006/relationships" name="Validation_Checks" sheetId="12" r:id="R46314a02ca1743f3"/>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yyyy-mm-dd"/>
    <x:numFmt numFmtId="201" formatCode="$#,##0.0"/>
    <x:numFmt numFmtId="202" formatCode="0.0%"/>
    <x:numFmt numFmtId="203" formatCode="0"/>
    <x:numFmt numFmtId="204" formatCode="#,##0"/>
    <x:numFmt numFmtId="205" formatCode="0%"/>
    <x:numFmt numFmtId="206" formatCode="#,##0.0"/>
    <x:numFmt numFmtId="207" formatCode="$#,##0.00"/>
    <x:numFmt numFmtId="208" formatCode="$#,##0"/>
    <x:numFmt numFmtId="209" formatCode="0.000"/>
    <x:numFmt numFmtId="210" formatCode="$#,##0.000"/>
  </x:numFmts>
  <x:fonts count="20">
    <x:font>
      <x:sz val="11"/>
      <x:name val="Carlito"/>
    </x:font>
    <x:font>
      <x:b/>
      <x:sz val="20"/>
      <x:color rgb="FFFFFFFF"/>
      <x:name val="Carlito"/>
    </x:font>
    <x:font>
      <x:i/>
      <x:sz val="10"/>
      <x:color rgb="FF667085"/>
      <x:name val="Carlito"/>
    </x:font>
    <x:font>
      <x:b/>
      <x:sz val="10"/>
      <x:color rgb="FFFFFFFF"/>
      <x:name val="Carlito"/>
    </x:font>
    <x:font>
      <x:sz val="9"/>
      <x:color rgb="FF111827"/>
      <x:name val="Carlito"/>
    </x:font>
    <x:font>
      <x:sz val="8"/>
      <x:color rgb="FF3167B1"/>
      <x:name val="Carlito"/>
    </x:font>
    <x:font>
      <x:b/>
      <x:sz val="11"/>
      <x:color rgb="FFFFFFFF"/>
      <x:name val="Carlito"/>
    </x:font>
    <x:font>
      <x:b/>
      <x:sz val="9"/>
      <x:color rgb="FF3167B1"/>
      <x:name val="Carlito"/>
    </x:font>
    <x:font>
      <x:b/>
      <x:sz val="9"/>
      <x:color rgb="FF0B1F33"/>
      <x:name val="Carlito"/>
    </x:font>
    <x:font>
      <x:b/>
      <x:sz val="9"/>
      <x:color rgb="FFB42318"/>
      <x:name val="Carlito"/>
    </x:font>
    <x:font>
      <x:b/>
      <x:sz val="9"/>
      <x:color rgb="FFC98300"/>
      <x:name val="Carlito"/>
    </x:font>
    <x:font>
      <x:b/>
      <x:sz val="9"/>
      <x:color rgb="FF111827"/>
      <x:name val="Carlito"/>
    </x:font>
    <x:font>
      <x:b/>
      <x:sz val="13"/>
      <x:color rgb="FFB42318"/>
      <x:name val="Carlito"/>
    </x:font>
    <x:font>
      <x:b/>
      <x:sz val="11"/>
      <x:color rgb="FF667085"/>
      <x:name val="Carlito"/>
    </x:font>
    <x:font>
      <x:b/>
      <x:sz val="18"/>
      <x:color rgb="FF0B1F33"/>
      <x:name val="Carlito"/>
    </x:font>
    <x:font>
      <x:b/>
      <x:sz val="12"/>
      <x:color rgb="FFFFFFFF"/>
      <x:name val="Carlito"/>
    </x:font>
    <x:font>
      <x:sz val="10"/>
      <x:color rgb="FF0B1F33"/>
      <x:name val="Carlito"/>
    </x:font>
    <x:font>
      <x:b/>
      <x:sz val="9"/>
      <x:color rgb="FF1B7F5A"/>
      <x:name val="Carlito"/>
    </x:font>
    <x:font>
      <x:b/>
      <x:sz val="20"/>
      <x:color rgb="FFFFFFFF"/>
      <x:name val="Aptos Display"/>
    </x:font>
    <x:font>
      <x:i/>
      <x:sz val="10"/>
      <x:color rgb="FF667085"/>
      <x:name val="Aptos"/>
    </x:font>
  </x:fonts>
  <x:fills count="9">
    <x:fill>
      <x:patternFill patternType="none"/>
    </x:fill>
    <x:fill>
      <x:patternFill patternType="gray125"/>
    </x:fill>
    <x:fill>
      <x:patternFill patternType="solid">
        <x:fgColor rgb="FF0B1F33"/>
      </x:patternFill>
    </x:fill>
    <x:fill>
      <x:patternFill patternType="solid">
        <x:fgColor rgb="FFEEF5FC"/>
      </x:patternFill>
    </x:fill>
    <x:fill>
      <x:patternFill patternType="solid">
        <x:fgColor rgb="FF3167B1"/>
      </x:patternFill>
    </x:fill>
    <x:fill>
      <x:patternFill patternType="solid">
        <x:fgColor rgb="FFFFF4D6"/>
      </x:patternFill>
    </x:fill>
    <x:fill>
      <x:patternFill patternType="solid">
        <x:fgColor rgb="FFFDECEC"/>
      </x:patternFill>
    </x:fill>
    <x:fill>
      <x:patternFill patternType="solid">
        <x:fgColor rgb="FFFFFFFF"/>
      </x:patternFill>
    </x:fill>
    <x:fill>
      <x:patternFill patternType="solid">
        <x:fgColor rgb="FFE8F5EE"/>
      </x:patternFill>
    </x:fill>
  </x:fills>
  <x:borders count="6">
    <x:border/>
    <x:border>
      <x:bottom style="thin">
        <x:color rgb="FFCCD5DF"/>
      </x:bottom>
    </x:border>
    <x:border>
      <x:bottom style="hair">
        <x:color rgb="FFE5E7EB"/>
      </x:bottom>
    </x:border>
    <x:border>
      <x:top style="thin">
        <x:color rgb="FF3167B1"/>
      </x:top>
      <x:bottom style="hair">
        <x:color rgb="FFE5E7EB"/>
      </x:bottom>
    </x:border>
    <x:border>
      <x:left style="medium">
        <x:color rgb="FFB42318"/>
      </x:left>
    </x:border>
    <x:border>
      <x:bottom style="thin">
        <x:color rgb="FFFFFFFF"/>
      </x:bottom>
    </x:border>
  </x:borders>
  <x:cellStyleXfs count="1">
    <x:xf numFmtId="0" fontId="0" fillId="0" borderId="0"/>
  </x:cellStyleXfs>
  <x:cellXfs count="1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0" xfId="0" applyNumberFormat="1" applyFont="1" applyFill="1" applyBorder="1" applyAlignment="1">
      <x:alignment vertical="top"/>
    </x:xf>
    <x:xf numFmtId="0" fontId="4" fillId="0" borderId="2" xfId="0" applyNumberFormat="1" applyFont="1" applyFill="1" applyBorder="1" applyAlignment="1">
      <x:alignment vertical="top"/>
    </x:xf>
    <x:xf numFmtId="200" fontId="4" fillId="0" borderId="0" xfId="0" applyNumberFormat="1" applyFont="1" applyFill="1" applyBorder="1" applyAlignment="1">
      <x:alignment vertical="top"/>
    </x:xf>
    <x:xf numFmtId="200" fontId="4" fillId="0" borderId="2" xfId="0" applyNumberFormat="1" applyFont="1" applyFill="1" applyBorder="1" applyAlignment="1">
      <x:alignment vertical="top"/>
    </x:xf>
    <x:xf numFmtId="201" fontId="4" fillId="0" borderId="0" xfId="0" applyNumberFormat="1" applyFont="1" applyFill="1" applyBorder="1" applyAlignment="1">
      <x:alignment vertical="top"/>
    </x:xf>
    <x:xf numFmtId="201" fontId="4" fillId="0" borderId="2" xfId="0" applyNumberFormat="1" applyFont="1" applyFill="1" applyBorder="1" applyAlignment="1">
      <x:alignment vertical="top"/>
    </x:xf>
    <x:xf numFmtId="202" fontId="4" fillId="0" borderId="0" xfId="0" applyNumberFormat="1" applyFont="1" applyFill="1" applyBorder="1" applyAlignment="1">
      <x:alignment vertical="top"/>
    </x:xf>
    <x:xf numFmtId="202" fontId="4" fillId="0" borderId="2" xfId="0" applyNumberFormat="1" applyFont="1" applyFill="1" applyBorder="1" applyAlignment="1">
      <x:alignment vertical="top"/>
    </x:xf>
    <x:xf numFmtId="203" fontId="4" fillId="0" borderId="0" xfId="0" applyNumberFormat="1" applyFont="1" applyFill="1" applyBorder="1" applyAlignment="1">
      <x:alignment vertical="top"/>
    </x:xf>
    <x:xf numFmtId="203" fontId="4" fillId="0" borderId="2" xfId="0" applyNumberFormat="1" applyFont="1" applyFill="1" applyBorder="1" applyAlignment="1">
      <x:alignment vertical="top"/>
    </x:xf>
    <x:xf numFmtId="204" fontId="4" fillId="0" borderId="0" xfId="0" applyNumberFormat="1" applyFont="1" applyFill="1" applyBorder="1" applyAlignment="1">
      <x:alignment vertical="top"/>
    </x:xf>
    <x:xf numFmtId="204" fontId="4" fillId="0" borderId="2" xfId="0" applyNumberFormat="1" applyFont="1" applyFill="1" applyBorder="1" applyAlignment="1">
      <x:alignment vertical="top"/>
    </x:xf>
    <x:xf numFmtId="0" fontId="5" fillId="0" borderId="0" xfId="0" applyNumberFormat="1" applyFont="1" applyFill="1" applyBorder="1" applyAlignment="1">
      <x:alignment vertical="top"/>
    </x:xf>
    <x:xf numFmtId="0" fontId="5" fillId="0" borderId="2" xfId="0" applyNumberFormat="1" applyFont="1" applyFill="1" applyBorder="1" applyAlignment="1">
      <x:alignment vertical="top"/>
    </x:xf>
    <x:xf numFmtId="0" fontId="4" fillId="0" borderId="0" xfId="0" applyNumberFormat="1" applyFont="1" applyFill="1" applyBorder="1" applyAlignment="1">
      <x:alignment vertical="top" wrapText="0"/>
    </x:xf>
    <x:xf numFmtId="200" fontId="4" fillId="0" borderId="0" xfId="0" applyNumberFormat="1" applyFont="1" applyFill="1" applyBorder="1" applyAlignment="1">
      <x:alignment vertical="top" wrapText="0"/>
    </x:xf>
    <x:xf numFmtId="201" fontId="4" fillId="0" borderId="0" xfId="0" applyNumberFormat="1" applyFont="1" applyFill="1" applyBorder="1" applyAlignment="1">
      <x:alignment vertical="top" wrapText="0"/>
    </x:xf>
    <x:xf numFmtId="202" fontId="4" fillId="0" borderId="0" xfId="0" applyNumberFormat="1" applyFont="1" applyFill="1" applyBorder="1" applyAlignment="1">
      <x:alignment vertical="top" wrapText="0"/>
    </x:xf>
    <x:xf numFmtId="203" fontId="4" fillId="0" borderId="0" xfId="0" applyNumberFormat="1" applyFont="1" applyFill="1" applyBorder="1" applyAlignment="1">
      <x:alignment vertical="top" wrapText="0"/>
    </x:xf>
    <x:xf numFmtId="204"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4" fillId="0" borderId="2" xfId="0" applyNumberFormat="1" applyFont="1" applyFill="1" applyBorder="1" applyAlignment="1">
      <x:alignment vertical="top" wrapText="0"/>
    </x:xf>
    <x:xf numFmtId="200" fontId="4" fillId="0" borderId="2" xfId="0" applyNumberFormat="1" applyFont="1" applyFill="1" applyBorder="1" applyAlignment="1">
      <x:alignment vertical="top" wrapText="0"/>
    </x:xf>
    <x:xf numFmtId="201" fontId="4" fillId="0" borderId="2" xfId="0" applyNumberFormat="1" applyFont="1" applyFill="1" applyBorder="1" applyAlignment="1">
      <x:alignment vertical="top" wrapText="0"/>
    </x:xf>
    <x:xf numFmtId="202" fontId="4" fillId="0" borderId="2" xfId="0" applyNumberFormat="1" applyFont="1" applyFill="1" applyBorder="1" applyAlignment="1">
      <x:alignment vertical="top" wrapText="0"/>
    </x:xf>
    <x:xf numFmtId="203" fontId="4" fillId="0" borderId="2" xfId="0" applyNumberFormat="1" applyFont="1" applyFill="1" applyBorder="1" applyAlignment="1">
      <x:alignment vertical="top" wrapText="0"/>
    </x:xf>
    <x:xf numFmtId="204" fontId="4" fillId="0" borderId="2" xfId="0" applyNumberFormat="1" applyFont="1" applyFill="1" applyBorder="1" applyAlignment="1">
      <x:alignment vertical="top" wrapText="0"/>
    </x:xf>
    <x:xf numFmtId="0" fontId="5" fillId="0" borderId="2" xfId="0" applyNumberFormat="1" applyFont="1" applyFill="1" applyBorder="1" applyAlignment="1">
      <x:alignment vertical="top" wrapText="0"/>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205" fontId="4" fillId="0" borderId="0" xfId="0" applyNumberFormat="1" applyFont="1" applyFill="1" applyBorder="1" applyAlignment="1">
      <x:alignment vertical="top"/>
    </x:xf>
    <x:xf numFmtId="205" fontId="4" fillId="0" borderId="2" xfId="0" applyNumberFormat="1" applyFont="1" applyFill="1" applyBorder="1" applyAlignment="1">
      <x:alignment vertical="top"/>
    </x:xf>
    <x:xf numFmtId="206" fontId="4" fillId="0" borderId="0" xfId="0" applyNumberFormat="1" applyFont="1" applyFill="1" applyBorder="1" applyAlignment="1">
      <x:alignment vertical="top"/>
    </x:xf>
    <x:xf numFmtId="206" fontId="4" fillId="0" borderId="2" xfId="0" applyNumberFormat="1" applyFont="1" applyFill="1" applyBorder="1" applyAlignment="1">
      <x:alignment vertical="top"/>
    </x:xf>
    <x:xf numFmtId="207" fontId="4" fillId="0" borderId="0" xfId="0" applyNumberFormat="1" applyFont="1" applyFill="1" applyBorder="1" applyAlignment="1">
      <x:alignment vertical="top"/>
    </x:xf>
    <x:xf numFmtId="207" fontId="4" fillId="0" borderId="2" xfId="0" applyNumberFormat="1" applyFont="1" applyFill="1" applyBorder="1" applyAlignment="1">
      <x:alignment vertical="top"/>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vertical="center"/>
    </x:xf>
    <x:xf numFmtId="0" fontId="4" fillId="5" borderId="0" xfId="0" applyNumberFormat="1" applyFont="1" applyFill="1" applyBorder="1" applyAlignment="1">
      <x:alignment vertical="top"/>
    </x:xf>
    <x:xf numFmtId="0" fontId="7" fillId="5" borderId="0" xfId="0" applyNumberFormat="1" applyFont="1" applyFill="1" applyBorder="1" applyAlignment="1">
      <x:alignment vertical="top"/>
    </x:xf>
    <x:xf numFmtId="0" fontId="7" fillId="5" borderId="0" xfId="0" applyNumberFormat="1" applyFont="1" applyFill="1" applyBorder="1" applyAlignment="1">
      <x:alignment horizontal="center" vertical="top"/>
    </x:xf>
    <x:xf numFmtId="202" fontId="7" fillId="5" borderId="0" xfId="0" applyNumberFormat="1" applyFont="1" applyFill="1" applyBorder="1" applyAlignment="1">
      <x:alignment horizontal="center" vertical="top"/>
    </x:xf>
    <x:xf numFmtId="0" fontId="4" fillId="3" borderId="2" xfId="0" applyNumberFormat="1" applyFont="1" applyFill="1" applyBorder="1" applyAlignment="1">
      <x:alignment vertical="top"/>
    </x:xf>
    <x:xf numFmtId="202" fontId="4" fillId="3" borderId="2" xfId="0" applyNumberFormat="1" applyFont="1" applyFill="1" applyBorder="1" applyAlignment="1">
      <x:alignment vertical="top"/>
    </x:xf>
    <x:xf numFmtId="201" fontId="4" fillId="3" borderId="2" xfId="0" applyNumberFormat="1" applyFont="1" applyFill="1" applyBorder="1" applyAlignment="1">
      <x:alignment vertical="top"/>
    </x:xf>
    <x:xf numFmtId="0" fontId="8" fillId="3" borderId="2" xfId="0" applyNumberFormat="1" applyFont="1" applyFill="1" applyBorder="1" applyAlignment="1">
      <x:alignment vertical="top"/>
    </x:xf>
    <x:xf numFmtId="202" fontId="8" fillId="3" borderId="2" xfId="0" applyNumberFormat="1" applyFont="1" applyFill="1" applyBorder="1" applyAlignment="1">
      <x:alignment vertical="top"/>
    </x:xf>
    <x:xf numFmtId="201" fontId="8" fillId="3" borderId="2" xfId="0" applyNumberFormat="1" applyFont="1" applyFill="1" applyBorder="1" applyAlignment="1">
      <x:alignment vertical="top"/>
    </x:xf>
    <x:xf numFmtId="0" fontId="8" fillId="3" borderId="3" xfId="0" applyNumberFormat="1" applyFont="1" applyFill="1" applyBorder="1" applyAlignment="1">
      <x:alignment vertical="top"/>
    </x:xf>
    <x:xf numFmtId="202" fontId="8" fillId="3" borderId="3" xfId="0" applyNumberFormat="1" applyFont="1" applyFill="1" applyBorder="1" applyAlignment="1">
      <x:alignment vertical="top"/>
    </x:xf>
    <x:xf numFmtId="201" fontId="8" fillId="3" borderId="3" xfId="0" applyNumberFormat="1" applyFont="1" applyFill="1" applyBorder="1" applyAlignment="1">
      <x:alignment vertical="top"/>
    </x:xf>
    <x:xf numFmtId="208" fontId="4" fillId="0" borderId="0" xfId="0" applyNumberFormat="1" applyFont="1" applyFill="1" applyBorder="1" applyAlignment="1">
      <x:alignment vertical="top"/>
    </x:xf>
    <x:xf numFmtId="208" fontId="4" fillId="0" borderId="0" xfId="0" applyNumberFormat="1" applyFont="1" applyFill="1" applyBorder="1" applyAlignment="1">
      <x:alignment vertical="top" wrapText="1"/>
    </x:xf>
    <x:xf numFmtId="0" fontId="8" fillId="3" borderId="3"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209" fontId="4" fillId="0" borderId="0" xfId="0" applyNumberFormat="1" applyFont="1" applyFill="1" applyBorder="1" applyAlignment="1">
      <x:alignment vertical="top"/>
    </x:xf>
    <x:xf numFmtId="210" fontId="4" fillId="0" borderId="0" xfId="0" applyNumberFormat="1" applyFont="1" applyFill="1" applyBorder="1" applyAlignment="1">
      <x:alignment vertical="top"/>
    </x:xf>
    <x:xf numFmtId="0" fontId="11" fillId="0" borderId="0" xfId="0" applyNumberFormat="1" applyFont="1" applyFill="1" applyBorder="1" applyAlignment="1">
      <x:alignment vertical="top"/>
    </x:xf>
    <x:xf numFmtId="0" fontId="11" fillId="0" borderId="2" xfId="0" applyNumberFormat="1" applyFont="1" applyFill="1" applyBorder="1" applyAlignment="1">
      <x:alignment vertical="top"/>
    </x:xf>
    <x:xf numFmtId="209" fontId="4"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210"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0" fontId="11" fillId="0" borderId="2" xfId="0" applyNumberFormat="1" applyFont="1" applyFill="1" applyBorder="1" applyAlignment="1">
      <x:alignment vertical="top" wrapText="1"/>
    </x:xf>
    <x:xf numFmtId="0" fontId="0" fillId="6" borderId="0" xfId="0" applyNumberFormat="1" applyFont="1" applyFill="1" applyBorder="1"/>
    <x:xf numFmtId="0" fontId="12" fillId="6" borderId="0" xfId="0" applyNumberFormat="1" applyFont="1" applyFill="1" applyBorder="1"/>
    <x:xf numFmtId="0" fontId="12" fillId="6" borderId="4" xfId="0" applyNumberFormat="1" applyFont="1" applyFill="1" applyBorder="1"/>
    <x:xf numFmtId="0" fontId="12" fillId="6" borderId="4" xfId="0" applyNumberFormat="1" applyFont="1" applyFill="1" applyBorder="1" applyAlignment="1">
      <x:alignment wrapText="1"/>
    </x:xf>
    <x:xf numFmtId="0" fontId="12" fillId="6" borderId="0" xfId="0" applyNumberFormat="1" applyFont="1" applyFill="1" applyBorder="1" applyAlignment="1">
      <x:alignment wrapText="1"/>
    </x:xf>
    <x:xf numFmtId="0" fontId="12" fillId="6" borderId="4" xfId="0" applyNumberFormat="1" applyFont="1" applyFill="1" applyBorder="1" applyAlignment="1">
      <x:alignment vertical="center" wrapText="1"/>
    </x:xf>
    <x:xf numFmtId="0" fontId="12" fillId="6" borderId="0" xfId="0" applyNumberFormat="1" applyFont="1" applyFill="1" applyBorder="1" applyAlignment="1">
      <x:alignment vertical="center" wrapText="1"/>
    </x:xf>
    <x:xf numFmtId="0" fontId="13" fillId="3" borderId="0" xfId="0" applyNumberFormat="1" applyFont="1" applyFill="1" applyBorder="1"/>
    <x:xf numFmtId="0" fontId="13" fillId="3" borderId="0" xfId="0" applyNumberFormat="1" applyFont="1" applyFill="1" applyBorder="1" applyAlignment="1">
      <x:alignment horizontal="center"/>
    </x:xf>
    <x:xf numFmtId="0" fontId="0" fillId="7" borderId="0" xfId="0" applyNumberFormat="1" applyFont="1" applyFill="1" applyBorder="1"/>
    <x:xf numFmtId="0" fontId="14" fillId="7" borderId="0" xfId="0" applyNumberFormat="1" applyFont="1" applyFill="1" applyBorder="1"/>
    <x:xf numFmtId="0" fontId="14" fillId="7" borderId="1" xfId="0" applyNumberFormat="1" applyFont="1" applyFill="1" applyBorder="1"/>
    <x:xf numFmtId="0" fontId="14" fillId="7" borderId="1" xfId="0" applyNumberFormat="1" applyFont="1" applyFill="1" applyBorder="1" applyAlignment="1">
      <x:alignment horizontal="center"/>
    </x:xf>
    <x:xf numFmtId="201" fontId="14" fillId="7" borderId="1" xfId="0" applyNumberFormat="1" applyFont="1" applyFill="1" applyBorder="1" applyAlignment="1">
      <x:alignment horizontal="center"/>
    </x:xf>
    <x:xf numFmtId="202" fontId="14" fillId="7" borderId="1" xfId="0" applyNumberFormat="1" applyFont="1" applyFill="1" applyBorder="1" applyAlignment="1">
      <x:alignment horizontal="center"/>
    </x:xf>
    <x:xf numFmtId="204" fontId="14" fillId="7" borderId="1" xfId="0" applyNumberFormat="1" applyFont="1" applyFill="1" applyBorder="1" applyAlignment="1">
      <x:alignment horizontal="center"/>
    </x:xf>
    <x:xf numFmtId="205" fontId="14" fillId="7" borderId="1" xfId="0" applyNumberFormat="1" applyFont="1" applyFill="1" applyBorder="1" applyAlignment="1">
      <x:alignment horizontal="center"/>
    </x:xf>
    <x:xf numFmtId="0" fontId="13" fillId="3" borderId="0" xfId="0" applyNumberFormat="1" applyFont="1" applyFill="1" applyBorder="1" applyAlignment="1">
      <x:alignment horizontal="center" wrapText="1"/>
    </x:xf>
    <x:xf numFmtId="201" fontId="14" fillId="7" borderId="1" xfId="0" applyNumberFormat="1" applyFont="1" applyFill="1" applyBorder="1" applyAlignment="1">
      <x:alignment horizontal="center" wrapText="1"/>
    </x:xf>
    <x:xf numFmtId="0" fontId="14" fillId="7" borderId="1" xfId="0" applyNumberFormat="1" applyFont="1" applyFill="1" applyBorder="1" applyAlignment="1">
      <x:alignment horizontal="center" wrapText="1"/>
    </x:xf>
    <x:xf numFmtId="202" fontId="14" fillId="7" borderId="1" xfId="0" applyNumberFormat="1" applyFont="1" applyFill="1" applyBorder="1" applyAlignment="1">
      <x:alignment horizontal="center" wrapText="1"/>
    </x:xf>
    <x:xf numFmtId="204" fontId="14" fillId="7" borderId="1" xfId="0" applyNumberFormat="1" applyFont="1" applyFill="1" applyBorder="1" applyAlignment="1">
      <x:alignment horizontal="center" wrapText="1"/>
    </x:xf>
    <x:xf numFmtId="205" fontId="14" fillId="7" borderId="1" xfId="0" applyNumberFormat="1" applyFont="1" applyFill="1" applyBorder="1" applyAlignment="1">
      <x:alignment horizontal="center" wrapText="1"/>
    </x:xf>
    <x:xf numFmtId="0" fontId="15" fillId="4" borderId="0" xfId="0" applyNumberFormat="1" applyFont="1" applyFill="1" applyBorder="1"/>
    <x:xf numFmtId="0" fontId="15" fillId="4" borderId="0" xfId="0" applyNumberFormat="1" applyFont="1" applyFill="1" applyBorder="1" applyAlignment="1">
      <x:alignment horizontal="center"/>
    </x:xf>
    <x:xf numFmtId="0" fontId="15" fillId="4" borderId="0" xfId="0" applyNumberFormat="1" applyFont="1" applyFill="1" applyBorder="1" applyAlignment="1">
      <x:alignment horizontal="center" vertical="center"/>
    </x:xf>
    <x:xf numFmtId="0" fontId="16" fillId="3" borderId="0" xfId="0" applyNumberFormat="1" applyFont="1" applyFill="1" applyBorder="1"/>
    <x:xf numFmtId="0" fontId="16" fillId="3" borderId="5" xfId="0" applyNumberFormat="1" applyFont="1" applyFill="1" applyBorder="1"/>
    <x:xf numFmtId="0" fontId="16" fillId="3" borderId="0" xfId="0" applyNumberFormat="1" applyFont="1" applyFill="1" applyBorder="1" applyAlignment="1">
      <x:alignment wrapText="1"/>
    </x:xf>
    <x:xf numFmtId="0" fontId="16" fillId="3" borderId="5" xfId="0" applyNumberFormat="1" applyFont="1" applyFill="1" applyBorder="1" applyAlignment="1">
      <x:alignment wrapText="1"/>
    </x:xf>
    <x:xf numFmtId="0" fontId="16" fillId="3" borderId="0" xfId="0" applyNumberFormat="1" applyFont="1" applyFill="1" applyBorder="1" applyAlignment="1">
      <x:alignment vertical="center" wrapText="1"/>
    </x:xf>
    <x:xf numFmtId="0" fontId="16" fillId="3" borderId="5" xfId="0" applyNumberFormat="1" applyFont="1" applyFill="1" applyBorder="1" applyAlignment="1">
      <x:alignment vertical="center" wrapText="1"/>
    </x:xf>
    <x:xf numFmtId="0" fontId="4" fillId="8" borderId="0"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9" fillId="6" borderId="2" xfId="0" applyNumberFormat="1" applyFont="1" applyFill="1" applyBorder="1" applyAlignment="1">
      <x:alignment vertical="top" wrapText="1"/>
    </x:xf>
    <x:xf numFmtId="0" fontId="7" fillId="0" borderId="0" xfId="0" applyNumberFormat="1" applyFont="1" applyFill="1" applyBorder="1" applyAlignment="1">
      <x:alignment vertical="top"/>
    </x:xf>
    <x:xf numFmtId="0" fontId="7" fillId="0" borderId="2" xfId="0" applyNumberFormat="1" applyFont="1" applyFill="1" applyBorder="1" applyAlignment="1">
      <x:alignment vertical="top"/>
    </x:xf>
    <x:xf numFmtId="0" fontId="18" fillId="2" borderId="0" xfId="0" applyNumberFormat="1" applyFont="1" applyFill="1" applyBorder="1" applyAlignment="1">
      <x:alignment vertical="center"/>
    </x:xf>
    <x:xf numFmtId="0" fontId="19"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81859e333b4d3f" /><Relationship Type="http://schemas.openxmlformats.org/officeDocument/2006/relationships/theme" Target="/xl/theme/theme1.xml" Id="R259bccf3dc1046f1" /><Relationship Type="http://schemas.openxmlformats.org/officeDocument/2006/relationships/sharedStrings" Target="/xl/sharedStrings.xml" Id="Rddabd89316d04c10" /><Relationship Type="http://schemas.openxmlformats.org/officeDocument/2006/relationships/worksheet" Target="/xl/worksheets/sheet1.xml" Id="R133a590c735e4dbb" /><Relationship Type="http://schemas.openxmlformats.org/officeDocument/2006/relationships/worksheet" Target="/xl/worksheets/sheet2.xml" Id="Rbe38d6fdcd014854" /><Relationship Type="http://schemas.openxmlformats.org/officeDocument/2006/relationships/worksheet" Target="/xl/worksheets/sheet3.xml" Id="R9d7cd5105a274ec1" /><Relationship Type="http://schemas.openxmlformats.org/officeDocument/2006/relationships/worksheet" Target="/xl/worksheets/sheet4.xml" Id="R641fd8fe1d0249ce" /><Relationship Type="http://schemas.openxmlformats.org/officeDocument/2006/relationships/worksheet" Target="/xl/worksheets/sheet5.xml" Id="Re9784e51c9be4d01" /><Relationship Type="http://schemas.openxmlformats.org/officeDocument/2006/relationships/worksheet" Target="/xl/worksheets/sheet6.xml" Id="Rfd46f92779a0497b" /><Relationship Type="http://schemas.openxmlformats.org/officeDocument/2006/relationships/worksheet" Target="/xl/worksheets/sheet7.xml" Id="Rd6b7154a3a8f4f2f" /><Relationship Type="http://schemas.openxmlformats.org/officeDocument/2006/relationships/worksheet" Target="/xl/worksheets/sheet8.xml" Id="Rcfb5e588ae82482b" /><Relationship Type="http://schemas.openxmlformats.org/officeDocument/2006/relationships/worksheet" Target="/xl/worksheets/sheet9.xml" Id="R7f808744a1934fc0" /><Relationship Type="http://schemas.openxmlformats.org/officeDocument/2006/relationships/worksheet" Target="/xl/worksheets/sheet10.xml" Id="R96b8a4e4131d4822" /><Relationship Type="http://schemas.openxmlformats.org/officeDocument/2006/relationships/worksheet" Target="/xl/worksheets/sheet11.xml" Id="Rfa8c1d11abb442ce" /><Relationship Type="http://schemas.openxmlformats.org/officeDocument/2006/relationships/worksheet" Target="/xl/worksheets/sheet12.xml" Id="R46314a02ca1743f3"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8bfe36e93142f7" /></Relationships>
</file>

<file path=xl/drawings/_rels/drawing2.xml.rels>&#65279;<?xml version="1.0" encoding="utf-8"?><Relationships xmlns="http://schemas.openxmlformats.org/package/2006/relationships"><Relationship Type="http://schemas.openxmlformats.org/officeDocument/2006/relationships/chart" Target="/xl/drawings/charts/chart2.xml" Id="Rede054c1f42d4ade" /></Relationships>
</file>

<file path=xl/drawings/_rels/drawing3.xml.rels>&#65279;<?xml version="1.0" encoding="utf-8"?><Relationships xmlns="http://schemas.openxmlformats.org/package/2006/relationships"><Relationship Type="http://schemas.openxmlformats.org/officeDocument/2006/relationships/chart" Target="/xl/drawings/charts/chart3.xml" Id="R5d8495e32aa3424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GAAP gross margin, FY2018–FY2025</a:t>
            </a:r>
          </a:p>
        </c:rich>
      </c:tx>
      <c:overlay val="0"/>
    </c:title>
    <c:plotArea>
      <c:lineChart>
        <c:grouping val="standard"/>
        <c:varyColors val="0"/>
        <c:ser>
          <c:idx val="0"/>
          <c:order val="0"/>
          <c:tx>
            <c:v>GAAP gross margin</c:v>
          </c:tx>
          <c:marker>
            <c:symbol val="none"/>
          </c:marker>
          <c:cat>
            <c:strRef>
              <c:f>'Cover'!$N$2:$N$9</c:f>
              <c:strCache>
                <c:ptCount val="0"/>
              </c:strCache>
            </c:strRef>
          </c:cat>
          <c:val>
            <c:numRef>
              <c:f>'Cover'!$O$2:$O$9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GAAP gross margin</a:t>
            </a:r>
          </a:p>
        </c:rich>
      </c:tx>
      <c:overlay val="0"/>
    </c:title>
    <c:plotArea>
      <c:lineChart>
        <c:grouping val="standard"/>
        <c:varyColors val="0"/>
        <c:ser>
          <c:idx val="0"/>
          <c:order val="0"/>
          <c:tx>
            <c:v>GAAP gross margin</c:v>
          </c:tx>
          <c:marker>
            <c:symbol val="none"/>
          </c:marker>
          <c:cat>
            <c:strRef>
              <c:f>'Annual_Financials'!$Z$2:$Z$9</c:f>
              <c:strCache>
                <c:ptCount val="0"/>
              </c:strCache>
            </c:strRef>
          </c:cat>
          <c:val>
            <c:numRef>
              <c:f>'Annual_Financials'!$AA$2:$AA$9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Customers adopt more Datadog products over time</a:t>
            </a:r>
          </a:p>
        </c:rich>
      </c:tx>
      <c:overlay val="0"/>
    </c:title>
    <c:plotArea>
      <c:lineChart>
        <c:grouping val="standard"/>
        <c:varyColors val="0"/>
        <c:ser>
          <c:idx val="0"/>
          <c:order val="0"/>
          <c:tx>
            <c:v>2+ products</c:v>
          </c:tx>
          <c:marker>
            <c:symbol val="none"/>
          </c:marker>
          <c:cat>
            <c:strRef>
              <c:f>'Product_Adoption'!$A$6:$A$29</c:f>
              <c:strCache>
                <c:ptCount val="0"/>
              </c:strCache>
            </c:strRef>
          </c:cat>
          <c:val>
            <c:numRef>
              <c:f>'Product_Adoption'!$B$6:$B$29</c:f>
              <c:numCache>
                <c:formatCode>0%</c:formatCode>
                <c:ptCount val="0"/>
              </c:numCache>
            </c:numRef>
          </c:val>
          <c:smooth val="0"/>
        </c:ser>
        <c:ser>
          <c:idx val="1"/>
          <c:order val="1"/>
          <c:tx>
            <c:v>4+ products</c:v>
          </c:tx>
          <c:marker>
            <c:symbol val="none"/>
          </c:marker>
          <c:cat>
            <c:strRef>
              <c:f>'Product_Adoption'!$A$6:$A$29</c:f>
              <c:strCache>
                <c:ptCount val="0"/>
              </c:strCache>
            </c:strRef>
          </c:cat>
          <c:val>
            <c:numRef>
              <c:f>'Product_Adoption'!$C$6:$C$29</c:f>
              <c:numCache>
                <c:formatCode>0%</c:formatCode>
                <c:ptCount val="0"/>
              </c:numCache>
            </c:numRef>
          </c:val>
          <c:smooth val="0"/>
        </c:ser>
        <c:ser>
          <c:idx val="2"/>
          <c:order val="2"/>
          <c:tx>
            <c:v>6+ products</c:v>
          </c:tx>
          <c:marker>
            <c:symbol val="none"/>
          </c:marker>
          <c:cat>
            <c:strRef>
              <c:f>'Product_Adoption'!$A$6:$A$29</c:f>
              <c:strCache>
                <c:ptCount val="0"/>
              </c:strCache>
            </c:strRef>
          </c:cat>
          <c:val>
            <c:numRef>
              <c:f>'Product_Adoption'!$D$6:$D$29</c:f>
              <c:numCache>
                <c:formatCode>0%</c:formatCode>
                <c:ptCount val="0"/>
              </c:numCache>
            </c:numRef>
          </c:val>
          <c:smooth val="0"/>
        </c:ser>
        <c:ser>
          <c:idx val="3"/>
          <c:order val="3"/>
          <c:tx>
            <c:v>8+ products</c:v>
          </c:tx>
          <c:marker>
            <c:symbol val="none"/>
          </c:marker>
          <c:cat>
            <c:strRef>
              <c:f>'Product_Adoption'!$A$6:$A$29</c:f>
              <c:strCache>
                <c:ptCount val="0"/>
              </c:strCache>
            </c:strRef>
          </c:cat>
          <c:val>
            <c:numRef>
              <c:f>'Product_Adoption'!$E$6:$E$29</c:f>
              <c:numCache>
                <c:formatCode>0%</c:formatCode>
                <c:ptCount val="0"/>
              </c:numCache>
            </c:numRef>
          </c:val>
          <c:smooth val="0"/>
        </c:ser>
        <c:ser>
          <c:idx val="4"/>
          <c:order val="4"/>
          <c:tx>
            <c:v>10+ products</c:v>
          </c:tx>
          <c:marker>
            <c:symbol val="none"/>
          </c:marker>
          <c:cat>
            <c:strRef>
              <c:f>'Product_Adoption'!$A$6:$A$29</c:f>
              <c:strCache>
                <c:ptCount val="0"/>
              </c:strCache>
            </c:strRef>
          </c:cat>
          <c:val>
            <c:numRef>
              <c:f>'Product_Adoption'!$F$6:$F$29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18</xdr:row>
      <xdr:rowOff>0</xdr:rowOff>
    </xdr:from>
    <xdr:to>
      <xdr:col>6</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8bfe36e93142f7"/>
        </a:graphicData>
      </a:graphic>
    </xdr:graphicFrame>
    <xdr:clientData/>
  </xdr:twoCellAnchor>
</xdr:wsDr>
</file>

<file path=xl/drawings/drawing2.xml><?xml version="1.0" encoding="utf-8"?>
<xdr:wsDr xmlns:xdr="http://schemas.openxmlformats.org/drawingml/2006/spreadsheetDrawing">
  <xdr:twoCellAnchor>
    <xdr:from>
      <xdr:col>15</xdr:col>
      <xdr:colOff>0</xdr:colOff>
      <xdr:row>4</xdr:row>
      <xdr:rowOff>0</xdr:rowOff>
    </xdr:from>
    <xdr:to>
      <xdr:col>23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e054c1f42d4ade"/>
        </a:graphicData>
      </a:graphic>
    </xdr:graphicFrame>
    <xdr:clientData/>
  </xdr:twoCellAnchor>
</xdr:wsDr>
</file>

<file path=xl/drawings/drawing3.xml><?xml version="1.0" encoding="utf-8"?>
<xdr:wsDr xmlns:xdr="http://schemas.openxmlformats.org/drawingml/2006/spreadsheetDrawing">
  <xdr:twoCellAnchor>
    <xdr:from>
      <xdr:col>11</xdr:col>
      <xdr:colOff>0</xdr:colOff>
      <xdr:row>4</xdr:row>
      <xdr:rowOff>0</xdr:rowOff>
    </xdr:from>
    <xdr:to>
      <xdr:col>20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8495e32aa34243"/>
        </a:graphicData>
      </a:graphic>
    </xdr:graphicFrame>
    <xdr:clientData/>
  </xdr:twoCellAnchor>
</xdr:wsDr>
</file>

<file path=xl/tables/table1.xml><?xml version="1.0" encoding="utf-8"?>
<x:table xmlns:x="http://schemas.openxmlformats.org/spreadsheetml/2006/main" id="1" name="QuarterlyFinancialsTable" displayName="QuarterlyFinancialsTable" ref="A5:S32" headerRowCount="1" totalsRowCount="0" totalsRowShown="0">
  <x:tableColumns count="19">
    <x:tableColumn id="1" name="Period"/>
    <x:tableColumn id="2" name="Period end"/>
    <x:tableColumn id="3" name="Revenue"/>
    <x:tableColumn id="4" name="Cost of revenue"/>
    <x:tableColumn id="5" name="Gross profit"/>
    <x:tableColumn id="6" name="GAAP gross margin"/>
    <x:tableColumn id="7" name="Non-GAAP gross profit"/>
    <x:tableColumn id="8" name="Non-GAAP gross margin"/>
    <x:tableColumn id="9" name="NG–GAAP (bps)"/>
    <x:tableColumn id="10" name="R&amp;D"/>
    <x:tableColumn id="11" name="Sales &amp; marketing"/>
    <x:tableColumn id="12" name="G&amp;A"/>
    <x:tableColumn id="13" name="Operating income"/>
    <x:tableColumn id="14" name="GAAP operating margin"/>
    <x:tableColumn id="15" name="Customers &gt;$100k ARR"/>
    <x:tableColumn id="16" name="Q4 derived?"/>
    <x:tableColumn id="17" name="Financial Source ID"/>
    <x:tableColumn id="18" name="Release Source ID"/>
    <x:tableColumn id="19" name="Official release URL"/>
  </x:tableColumns>
  <x:tableStyleInfo name="TableStyleMedium2" showFirstColumn="0" showLastColumn="0" showRowStripes="1" showColumnStripes="0"/>
</x:table>
</file>

<file path=xl/tables/table2.xml><?xml version="1.0" encoding="utf-8"?>
<x:table xmlns:x="http://schemas.openxmlformats.org/spreadsheetml/2006/main" id="2" name="AnnualFinancialsTable" displayName="AnnualFinancialsTable" ref="A5:N13" headerRowCount="1" totalsRowCount="0" totalsRowShown="0">
  <x:tableColumns count="14">
    <x:tableColumn id="1" name="Period"/>
    <x:tableColumn id="2" name="Year end"/>
    <x:tableColumn id="3" name="Revenue"/>
    <x:tableColumn id="4" name="Cost of revenue"/>
    <x:tableColumn id="5" name="Gross profit"/>
    <x:tableColumn id="6" name="GAAP gross margin"/>
    <x:tableColumn id="7" name="YoY revenue growth"/>
    <x:tableColumn id="8" name="YoY COGS growth"/>
    <x:tableColumn id="9" name="R&amp;D"/>
    <x:tableColumn id="10" name="Sales &amp; marketing"/>
    <x:tableColumn id="11" name="G&amp;A"/>
    <x:tableColumn id="12" name="Operating income"/>
    <x:tableColumn id="13" name="Operating margin"/>
    <x:tableColumn id="14" name="Source ID"/>
  </x:tableColumns>
  <x:tableStyleInfo name="TableStyleMedium2" showFirstColumn="0" showLastColumn="0" showRowStripes="1" showColumnStripes="0"/>
</x:table>
</file>

<file path=xl/tables/table3.xml><?xml version="1.0" encoding="utf-8"?>
<x:table xmlns:x="http://schemas.openxmlformats.org/spreadsheetml/2006/main" id="3" name="ProductAdoptionTable" displayName="ProductAdoptionTable" ref="A5:J29" headerRowCount="1" totalsRowCount="0" totalsRowShown="0">
  <x:tableColumns count="10">
    <x:tableColumn id="1" name="Period"/>
    <x:tableColumn id="2" name="2+ products"/>
    <x:tableColumn id="3" name="4+ products"/>
    <x:tableColumn id="4" name="6+ products"/>
    <x:tableColumn id="5" name="8+ products"/>
    <x:tableColumn id="6" name="10+ products"/>
    <x:tableColumn id="7" name="Evidence label"/>
    <x:tableColumn id="8" name="Source ID"/>
    <x:tableColumn id="9" name="Official URL"/>
    <x:tableColumn id="10" name="Basis / note"/>
  </x:tableColumns>
  <x:tableStyleInfo name="TableStyleMedium2" showFirstColumn="0" showLastColumn="0" showRowStripes="1" showColumnStripes="0"/>
</x:table>
</file>

<file path=xl/tables/table4.xml><?xml version="1.0" encoding="utf-8"?>
<x:table xmlns:x="http://schemas.openxmlformats.org/spreadsheetml/2006/main" id="4" name="ProductMilestonesTable" displayName="ProductMilestonesTable" ref="A5:K29" headerRowCount="1" totalsRowCount="0" totalsRowShown="0">
  <x:tableColumns count="11">
    <x:tableColumn id="1" name="Period"/>
    <x:tableColumn id="2" name="Metric"/>
    <x:tableColumn id="3" name="Product / scope"/>
    <x:tableColumn id="4" name="Lower bound / value"/>
    <x:tableColumn id="5" name="Upper bound"/>
    <x:tableColumn id="6" name="Unit"/>
    <x:tableColumn id="7" name="Qualifier"/>
    <x:tableColumn id="8" name="Evidence label"/>
    <x:tableColumn id="9" name="Source ID"/>
    <x:tableColumn id="10" name="Official URL"/>
    <x:tableColumn id="11" name="Comparability note"/>
  </x:tableColumns>
  <x:tableStyleInfo name="TableStyleMedium2" showFirstColumn="0" showLastColumn="0" showRowStripes="1" showColumnStripes="0"/>
</x:table>
</file>

<file path=xl/tables/table5.xml><?xml version="1.0" encoding="utf-8"?>
<x:table xmlns:x="http://schemas.openxmlformats.org/spreadsheetml/2006/main" id="5" name="CurrentPricingTable" displayName="CurrentPricingTable" ref="A5:K108" headerRowCount="1" totalsRowCount="0" totalsRowShown="0">
  <x:tableColumns count="11">
    <x:tableColumn id="1" name="Business direction (analyst)"/>
    <x:tableColumn id="2" name="Product / SKU"/>
    <x:tableColumn id="3" name="Pricing unit"/>
    <x:tableColumn id="4" name="Annual contract price"/>
    <x:tableColumn id="5" name="Monthly price"/>
    <x:tableColumn id="6" name="On-demand price"/>
    <x:tableColumn id="7" name="Currency"/>
    <x:tableColumn id="8" name="Evidence label"/>
    <x:tableColumn id="9" name="Source ID"/>
    <x:tableColumn id="10" name="Official URL"/>
    <x:tableColumn id="11" name="Retrieved"/>
  </x:tableColumns>
  <x:tableStyleInfo name="TableStyleMedium2" showFirstColumn="0" showLastColumn="0" showRowStripes="1" showColumnStripes="0"/>
</x:table>
</file>

<file path=xl/tables/table6.xml><?xml version="1.0" encoding="utf-8"?>
<x:table xmlns:x="http://schemas.openxmlformats.org/spreadsheetml/2006/main" id="6" name="GeographyTable" displayName="GeographyTable" ref="A5:J8" headerRowCount="1" totalsRowCount="0" totalsRowShown="0">
  <x:tableColumns count="10">
    <x:tableColumn id="1" name="Period"/>
    <x:tableColumn id="2" name="North America revenue"/>
    <x:tableColumn id="3" name="International revenue"/>
    <x:tableColumn id="4" name="Total revenue"/>
    <x:tableColumn id="5" name="North America share"/>
    <x:tableColumn id="6" name="International share"/>
    <x:tableColumn id="7" name="U.S. revenue"/>
    <x:tableColumn id="8" name="U.S. share"/>
    <x:tableColumn id="9" name="Source ID"/>
    <x:tableColumn id="10" name="Official URL"/>
  </x:tableColumns>
  <x:tableStyleInfo name="TableStyleMedium2" showFirstColumn="0" showLastColumn="0" showRowStripes="1" showColumnStripes="0"/>
</x:table>
</file>

<file path=xl/tables/table7.xml><?xml version="1.0" encoding="utf-8"?>
<x:table xmlns:x="http://schemas.openxmlformats.org/spreadsheetml/2006/main" id="7" name="SourceIndexTable" displayName="SourceIndexTable" ref="A5:K61" headerRowCount="1" totalsRowCount="0" totalsRowShown="0">
  <x:tableColumns count="11">
    <x:tableColumn id="1" name="Source ID"/>
    <x:tableColumn id="2" name="Source"/>
    <x:tableColumn id="3" name="Type"/>
    <x:tableColumn id="4" name="Period / as-of"/>
    <x:tableColumn id="5" name="Filed / published"/>
    <x:tableColumn id="6" name="Retrieved"/>
    <x:tableColumn id="7" name="Evidence rank"/>
    <x:tableColumn id="8" name="Verification method"/>
    <x:tableColumn id="9" name="Official URL"/>
    <x:tableColumn id="10" name="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AFlagsTable" displayName="QAFlagsTable" ref="A5:I13" headerRowCount="1" totalsRowCount="0" totalsRowShown="0">
  <x:tableColumns count="9">
    <x:tableColumn id="1" name="Flag ID"/>
    <x:tableColumn id="2" name="Severity"/>
    <x:tableColumn id="3" name="Topic"/>
    <x:tableColumn id="4" name="Issue"/>
    <x:tableColumn id="5" name="Working treatment"/>
    <x:tableColumn id="6" name="Status"/>
    <x:tableColumn id="7" name="Source A"/>
    <x:tableColumn id="8" name="Source B"/>
    <x:tableColumn id="9" name="Implication"/>
  </x:tableColumns>
  <x:tableStyleInfo name="TableStyleMedium2" showFirstColumn="0" showLastColumn="0" showRowStripes="1" showColumnStripes="0"/>
</x:table>
</file>

<file path=xl/tables/table9.xml><?xml version="1.0" encoding="utf-8"?>
<x:table xmlns:x="http://schemas.openxmlformats.org/spreadsheetml/2006/main" id="9" name="ValidationTable" displayName="ValidationTable" ref="A5:G15" headerRowCount="1" totalsRowCount="0" totalsRowShown="0">
  <x:tableColumns count="7">
    <x:tableColumn id="1" name="Check ID"/>
    <x:tableColumn id="2" name="Scope"/>
    <x:tableColumn id="3" name="Test"/>
    <x:tableColumn id="4" name="Observed"/>
    <x:tableColumn id="5" name="Expected / threshold"/>
    <x:tableColumn id="6" name="Status"/>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55ec94b1e114dee" /></Relationships>
</file>

<file path=xl/worksheets/_rels/sheet2.xml.rels>&#65279;<?xml version="1.0" encoding="utf-8"?><Relationships xmlns="http://schemas.openxmlformats.org/package/2006/relationships"><Relationship Type="http://schemas.openxmlformats.org/officeDocument/2006/relationships/table" Target="/xl/tables/table1.xml" Id="Re86d60bacc0045eb" /></Relationships>
</file>

<file path=xl/worksheets/_rels/sheet3.xml.rels>&#65279;<?xml version="1.0" encoding="utf-8"?><Relationships xmlns="http://schemas.openxmlformats.org/package/2006/relationships"><Relationship Type="http://schemas.openxmlformats.org/officeDocument/2006/relationships/drawing" Target="/xl/drawings/drawing2.xml" Id="R00339056f55542dd" /><Relationship Type="http://schemas.openxmlformats.org/officeDocument/2006/relationships/table" Target="/xl/tables/table2.xml" Id="Re884a4a31fcf40c1" /></Relationships>
</file>

<file path=xl/worksheets/_rels/sheet4.xml.rels>&#65279;<?xml version="1.0" encoding="utf-8"?><Relationships xmlns="http://schemas.openxmlformats.org/package/2006/relationships"><Relationship Type="http://schemas.openxmlformats.org/officeDocument/2006/relationships/drawing" Target="/xl/drawings/drawing3.xml" Id="R6575b87a69954986" /><Relationship Type="http://schemas.openxmlformats.org/officeDocument/2006/relationships/table" Target="/xl/tables/table3.xml" Id="R2f5064ceba8040b0" /></Relationships>
</file>

<file path=xl/worksheets/_rels/sheet5.xml.rels>&#65279;<?xml version="1.0" encoding="utf-8"?><Relationships xmlns="http://schemas.openxmlformats.org/package/2006/relationships"><Relationship Type="http://schemas.openxmlformats.org/officeDocument/2006/relationships/table" Target="/xl/tables/table4.xml" Id="R67737cd4cc874ff8" /></Relationships>
</file>

<file path=xl/worksheets/_rels/sheet6.xml.rels>&#65279;<?xml version="1.0" encoding="utf-8"?><Relationships xmlns="http://schemas.openxmlformats.org/package/2006/relationships"><Relationship Type="http://schemas.openxmlformats.org/officeDocument/2006/relationships/table" Target="/xl/tables/table5.xml" Id="R86a2447246a04719" /></Relationships>
</file>

<file path=xl/worksheets/_rels/sheet8.xml.rels>&#65279;<?xml version="1.0" encoding="utf-8"?><Relationships xmlns="http://schemas.openxmlformats.org/package/2006/relationships"><Relationship Type="http://schemas.openxmlformats.org/officeDocument/2006/relationships/table" Target="/xl/tables/table6.xml" Id="R2cc24973772146e8" /></Relationships>
</file>

<file path=xl/worksheets/_rels/sheet10.xml.rels>&#65279;<?xml version="1.0" encoding="utf-8"?><Relationships xmlns="http://schemas.openxmlformats.org/package/2006/relationships"><Relationship Type="http://schemas.openxmlformats.org/officeDocument/2006/relationships/table" Target="/xl/tables/table7.xml" Id="R55a32a0ece9c4af7" /></Relationships>
</file>

<file path=xl/worksheets/_rels/sheet11.xml.rels>&#65279;<?xml version="1.0" encoding="utf-8"?><Relationships xmlns="http://schemas.openxmlformats.org/package/2006/relationships"><Relationship Type="http://schemas.openxmlformats.org/officeDocument/2006/relationships/table" Target="/xl/tables/table8.xml" Id="R59f931fa2cea40f8" /></Relationships>
</file>

<file path=xl/worksheets/_rels/sheet12.xml.rels>&#65279;<?xml version="1.0" encoding="utf-8"?><Relationships xmlns="http://schemas.openxmlformats.org/package/2006/relationships"><Relationship Type="http://schemas.openxmlformats.org/officeDocument/2006/relationships/table" Target="/xl/tables/table9.xml" Id="R662efd00054e4ad6" /></Relationships>
</file>

<file path=xl/worksheets/sheet1.xml><?xml version="1.0" encoding="utf-8"?>
<x:worksheet xmlns:x="http://schemas.openxmlformats.org/spreadsheetml/2006/main">
  <x:sheetViews>
    <x:sheetView showGridLines="0" workbookViewId="0"/>
  </x:sheetViews>
  <x:sheetFormatPr defaultRowHeight="15"/>
  <x:cols>
    <x:col min="1" max="1" width="9.109999656677246" hidden="0" customWidth="1"/>
    <x:col min="2" max="2" width="9.109999656677246" hidden="0" customWidth="1"/>
    <x:col min="3" max="3" width="9.109999656677246" hidden="0" customWidth="1"/>
    <x:col min="4" max="4" width="8" hidden="0" customWidth="1"/>
    <x:col min="5" max="5" width="8" hidden="0" customWidth="1"/>
    <x:col min="6" max="6" width="8" hidden="0" customWidth="1"/>
    <x:col min="7" max="7" width="8.4399995803833" hidden="0" customWidth="1"/>
    <x:col min="8" max="8" width="8.4399995803833" hidden="0" customWidth="1"/>
    <x:col min="9" max="9" width="8.4399995803833" hidden="0" customWidth="1"/>
    <x:col min="10" max="10" width="8.4399995803833" hidden="0" customWidth="1"/>
    <x:col min="11" max="11" width="8.4399995803833" hidden="0" customWidth="1"/>
    <x:col min="12" max="12" width="16.670000076293945" hidden="0" customWidth="1"/>
  </x:cols>
  <x:sheetData>
    <x:row r="1" ht="28" customHeight="1">
      <x:c r="A1" s="126" t="str">
        <x:v>Datadog product-margin research pack</x:v>
      </x:c>
      <x:c r="B1" s="3"/>
      <x:c r="C1" s="3"/>
      <x:c r="D1" s="3"/>
      <x:c r="E1" s="3"/>
      <x:c r="F1" s="3"/>
      <x:c r="G1" s="3"/>
      <x:c r="H1" s="3"/>
      <x:c r="I1" s="3"/>
      <x:c r="J1" s="3"/>
      <x:c r="K1" s="3"/>
      <x:c r="L1" s="3"/>
      <x:c r="N1" t="str">
        <x:v>Period</x:v>
      </x:c>
      <x:c r="O1" t="str">
        <x:v>GAAP gross margin</x:v>
      </x:c>
    </x:row>
    <x:row r="2" ht="28" customHeight="1">
      <x:c r="A2" s="3"/>
      <x:c r="B2" s="3"/>
      <x:c r="C2" s="3"/>
      <x:c r="D2" s="3"/>
      <x:c r="E2" s="3"/>
      <x:c r="F2" s="3"/>
      <x:c r="G2" s="3"/>
      <x:c r="H2" s="3"/>
      <x:c r="I2" s="3"/>
      <x:c r="J2" s="3"/>
      <x:c r="K2" s="3"/>
      <x:c r="L2" s="3"/>
      <x:c r="N2" t="str">
        <x:f>Annual_Financials!A6</x:f>
        <x:v>FY2018</x:v>
      </x:c>
      <x:c r="O2" t="n">
        <x:f>Annual_Financials!F6</x:f>
        <x:v>0.7650964019043099</x:v>
      </x:c>
    </x:row>
    <x:row r="3" ht="30" customHeight="1">
      <x:c r="A3" s="127" t="str">
        <x:v>As of 2026-07-31 | Public-source, audit-trailed dataset | Historical financials through Q1 2026</x:v>
      </x:c>
      <x:c r="B3" s="7"/>
      <x:c r="C3" s="7"/>
      <x:c r="D3" s="7"/>
      <x:c r="E3" s="7"/>
      <x:c r="F3" s="7"/>
      <x:c r="G3" s="7"/>
      <x:c r="H3" s="7"/>
      <x:c r="I3" s="7"/>
      <x:c r="J3" s="7"/>
      <x:c r="K3" s="7"/>
      <x:c r="L3" s="7"/>
      <x:c r="N3" t="str">
        <x:f>Annual_Financials!A7</x:f>
        <x:v>FY2019</x:v>
      </x:c>
      <x:c r="O3" t="n">
        <x:f>Annual_Financials!F7</x:f>
        <x:v>0.754812834224599</x:v>
      </x:c>
    </x:row>
    <x:row r="4">
      <x:c r="N4" t="str">
        <x:f>Annual_Financials!A8</x:f>
        <x:v>FY2020</x:v>
      </x:c>
      <x:c r="O4" t="n">
        <x:f>Annual_Financials!F8</x:f>
        <x:v>0.7842513082758598</x:v>
      </x:c>
    </x:row>
    <x:row r="5">
      <x:c r="A5" s="55" t="str">
        <x:v>Bottom line</x:v>
      </x:c>
      <x:c r="B5" s="55"/>
      <x:c r="C5" s="55"/>
      <x:c r="D5" s="55"/>
      <x:c r="E5" s="55"/>
      <x:c r="F5" s="55"/>
      <x:c r="G5" s="55"/>
      <x:c r="H5" s="55"/>
      <x:c r="I5" s="55"/>
      <x:c r="J5" s="55"/>
      <x:c r="K5" s="55"/>
      <x:c r="L5" s="55"/>
      <x:c r="N5" t="str">
        <x:f>Annual_Financials!A9</x:f>
        <x:v>FY2021</x:v>
      </x:c>
      <x:c r="O5" t="n">
        <x:f>Annual_Financials!F9</x:f>
        <x:v>0.7723088617241325</x:v>
      </x:c>
    </x:row>
    <x:row r="6">
      <x:c r="A6" s="93" t="str">
        <x:v>Datadog does not disclose product-level revenue, product-level cost of revenue, or product-level gross margin. It reports one operating/reportable segment. The public data supports a top-down, directional allocation model — not an observed product-margin decomposition.</x:v>
      </x:c>
      <x:c r="B6" s="94"/>
      <x:c r="C6" s="94"/>
      <x:c r="D6" s="94"/>
      <x:c r="E6" s="94"/>
      <x:c r="F6" s="94"/>
      <x:c r="G6" s="94"/>
      <x:c r="H6" s="94"/>
      <x:c r="I6" s="94"/>
      <x:c r="J6" s="94"/>
      <x:c r="K6" s="94"/>
      <x:c r="L6" s="94"/>
      <x:c r="N6" t="str">
        <x:f>Annual_Financials!A10</x:f>
        <x:v>FY2022</x:v>
      </x:c>
      <x:c r="O6" t="n">
        <x:f>Annual_Financials!F10</x:f>
        <x:v>0.793001611844069</x:v>
      </x:c>
    </x:row>
    <x:row r="7">
      <x:c r="A7" s="93"/>
      <x:c r="B7" s="94"/>
      <x:c r="C7" s="94"/>
      <x:c r="D7" s="94"/>
      <x:c r="E7" s="94"/>
      <x:c r="F7" s="94"/>
      <x:c r="G7" s="94"/>
      <x:c r="H7" s="94"/>
      <x:c r="I7" s="94"/>
      <x:c r="J7" s="94"/>
      <x:c r="K7" s="94"/>
      <x:c r="L7" s="94"/>
      <x:c r="N7" t="str">
        <x:f>Annual_Financials!A11</x:f>
        <x:v>FY2023</x:v>
      </x:c>
      <x:c r="O7" t="n">
        <x:f>Annual_Financials!F11</x:f>
        <x:v>0.8074065512444094</x:v>
      </x:c>
    </x:row>
    <x:row r="8">
      <x:c r="A8" s="93"/>
      <x:c r="B8" s="94"/>
      <x:c r="C8" s="94"/>
      <x:c r="D8" s="94"/>
      <x:c r="E8" s="94"/>
      <x:c r="F8" s="94"/>
      <x:c r="G8" s="94"/>
      <x:c r="H8" s="94"/>
      <x:c r="I8" s="94"/>
      <x:c r="J8" s="94"/>
      <x:c r="K8" s="94"/>
      <x:c r="L8" s="94"/>
      <x:c r="N8" t="str">
        <x:f>Annual_Financials!A12</x:f>
        <x:v>FY2024</x:v>
      </x:c>
      <x:c r="O8" t="n">
        <x:f>Annual_Financials!F12</x:f>
        <x:v>0.8079440444812845</x:v>
      </x:c>
    </x:row>
    <x:row r="9">
      <x:c r="N9" t="str">
        <x:f>Annual_Financials!A13</x:f>
        <x:v>FY2025</x:v>
      </x:c>
      <x:c r="O9" t="n">
        <x:f>Annual_Financials!F13</x:f>
        <x:v>0.7995549081775629</x:v>
      </x:c>
    </x:row>
    <x:row r="10">
      <x:c r="A10" s="55" t="str">
        <x:v>Latest verified operating snapshot</x:v>
      </x:c>
      <x:c r="B10" s="55"/>
      <x:c r="C10" s="55"/>
      <x:c r="D10" s="55"/>
      <x:c r="E10" s="55"/>
      <x:c r="F10" s="55"/>
      <x:c r="G10" s="55" t="str">
        <x:v>What the product disclosures support</x:v>
      </x:c>
      <x:c r="H10" s="55"/>
      <x:c r="I10" s="55"/>
      <x:c r="J10" s="55"/>
      <x:c r="K10" s="55"/>
      <x:c r="L10" s="55"/>
    </x:row>
    <x:row r="11" ht="28" customHeight="1">
      <x:c r="A11" s="105" t="str">
        <x:v>Q1 2026 revenue</x:v>
      </x:c>
      <x:c r="B11" s="105"/>
      <x:c r="C11" s="105" t="str">
        <x:v>GAAP gross
margin</x:v>
      </x:c>
      <x:c r="D11" s="96"/>
      <x:c r="E11" s="96" t="str">
        <x:v>Non-GAAP gross
margin</x:v>
      </x:c>
      <x:c r="F11" s="96"/>
      <x:c r="G11" s="12" t="str">
        <x:v>FY2025 product milestone</x:v>
      </x:c>
      <x:c r="H11" s="12"/>
      <x:c r="I11" s="12"/>
      <x:c r="J11" s="12"/>
      <x:c r="K11" s="12"/>
      <x:c r="L11" s="12" t="str">
        <x:v>Disclosed lower bound / qualifier</x:v>
      </x:c>
    </x:row>
    <x:row r="12" ht="28" customHeight="1">
      <x:c r="A12" s="106" t="n">
        <x:f>Quarterly_Financials!C32</x:f>
        <x:v>1006.426</x:v>
      </x:c>
      <x:c r="B12" s="107"/>
      <x:c r="C12" s="108" t="n">
        <x:f>Quarterly_Financials!F32</x:f>
        <x:v>0.7921079145411585</x:v>
      </x:c>
      <x:c r="D12" s="100"/>
      <x:c r="E12" s="102" t="n">
        <x:f>Quarterly_Financials!H32</x:f>
        <x:v>0.8020718860601773</x:v>
      </x:c>
      <x:c r="F12" s="100"/>
      <x:c r="G12" s="15" t="str">
        <x:v>Infrastructure Monitoring</x:v>
      </x:c>
      <x:c r="H12" s="15"/>
      <x:c r="I12" s="15"/>
      <x:c r="J12" s="15"/>
      <x:c r="K12" s="15"/>
      <x:c r="L12" s="43" t="str">
        <x:v>&gt; $1.6bn ARR</x:v>
      </x:c>
    </x:row>
    <x:row r="13" ht="28" customHeight="1">
      <x:c r="A13" s="105" t="str">
        <x:v>Customers &gt;$100k ARR</x:v>
      </x:c>
      <x:c r="B13" s="105"/>
      <x:c r="C13" s="105" t="str">
        <x:v>4+ product adoption</x:v>
      </x:c>
      <x:c r="D13" s="96"/>
      <x:c r="E13" s="96" t="str">
        <x:v>Company ARR</x:v>
      </x:c>
      <x:c r="F13" s="96"/>
      <x:c r="G13" s="15" t="str">
        <x:v>Log Management</x:v>
      </x:c>
      <x:c r="H13" s="15"/>
      <x:c r="I13" s="15"/>
      <x:c r="J13" s="15"/>
      <x:c r="K13" s="15"/>
      <x:c r="L13" s="43" t="str">
        <x:v>&gt; $1.0bn ARR</x:v>
      </x:c>
    </x:row>
    <x:row r="14" ht="28" customHeight="1">
      <x:c r="A14" s="109" t="n">
        <x:f>Quarterly_Financials!O32</x:f>
        <x:v>4550</x:v>
      </x:c>
      <x:c r="B14" s="107"/>
      <x:c r="C14" s="110" t="n">
        <x:f>Product_Adoption!C29</x:f>
        <x:v>0.56</x:v>
      </x:c>
      <x:c r="D14" s="100"/>
      <x:c r="E14" s="100" t="str">
        <x:v>&gt; $4.0bn</x:v>
      </x:c>
      <x:c r="F14" s="100"/>
      <x:c r="G14" s="15" t="str">
        <x:v>APM + Digital Experience Monitoring</x:v>
      </x:c>
      <x:c r="H14" s="15"/>
      <x:c r="I14" s="15"/>
      <x:c r="J14" s="15"/>
      <x:c r="K14" s="15"/>
      <x:c r="L14" s="43" t="str">
        <x:v>&gt; $1.0bn ARR</x:v>
      </x:c>
    </x:row>
    <x:row r="15">
      <x:c r="G15" s="15" t="str">
        <x:v>Flex Logs</x:v>
      </x:c>
      <x:c r="H15" s="15"/>
      <x:c r="I15" s="15"/>
      <x:c r="J15" s="15"/>
      <x:c r="K15" s="15"/>
      <x:c r="L15" s="43" t="str">
        <x:v>nearing $100m ARR</x:v>
      </x:c>
    </x:row>
    <x:row r="16">
      <x:c r="G16" s="16" t="str">
        <x:v>Q1 2026 portfolio</x:v>
      </x:c>
      <x:c r="H16" s="16"/>
      <x:c r="I16" s="16"/>
      <x:c r="J16" s="16"/>
      <x:c r="K16" s="16"/>
      <x:c r="L16" s="45" t="str">
        <x:v>5 products &gt;$100m; 3 at $50–100m</x:v>
      </x:c>
    </x:row>
    <x:row r="18">
      <x:c r="A18" s="55" t="str">
        <x:v>Company gross-margin trend</x:v>
      </x:c>
      <x:c r="B18" s="55"/>
      <x:c r="C18" s="55"/>
      <x:c r="D18" s="55"/>
      <x:c r="E18" s="55"/>
      <x:c r="F18" s="55"/>
      <x:c r="G18" s="55" t="str">
        <x:v>How to use this pack</x:v>
      </x:c>
      <x:c r="H18" s="55"/>
      <x:c r="I18" s="55"/>
      <x:c r="J18" s="55"/>
      <x:c r="K18" s="55"/>
      <x:c r="L18" s="55"/>
    </x:row>
    <x:row r="19" ht="40" customHeight="1">
      <x:c r="G19" s="113" t="str">
        <x:v>1</x:v>
      </x:c>
      <x:c r="H19" s="118" t="str">
        <x:v>Start with Quarterly_Financials and Annual_Financials for the consolidated margin envelope.</x:v>
      </x:c>
      <x:c r="I19" s="118"/>
      <x:c r="J19" s="118"/>
      <x:c r="K19" s="118"/>
      <x:c r="L19" s="118"/>
    </x:row>
    <x:row r="20" ht="40" customHeight="1">
      <x:c r="G20" s="113" t="str">
        <x:v>2</x:v>
      </x:c>
      <x:c r="H20" s="118" t="str">
        <x:v>Use Product_ARR and Product_Adoption as mix/adoption proxies, preserving scope and qualifiers.</x:v>
      </x:c>
      <x:c r="I20" s="118"/>
      <x:c r="J20" s="118"/>
      <x:c r="K20" s="118"/>
      <x:c r="L20" s="118"/>
    </x:row>
    <x:row r="21" ht="40" customHeight="1">
      <x:c r="G21" s="113" t="str">
        <x:v>3</x:v>
      </x:c>
      <x:c r="H21" s="118" t="str">
        <x:v>Use Pricing_Current only to classify monetization units and possible cost intensity.</x:v>
      </x:c>
      <x:c r="I21" s="118"/>
      <x:c r="J21" s="118"/>
      <x:c r="K21" s="118"/>
      <x:c r="L21" s="118"/>
    </x:row>
    <x:row r="22" ht="40" customHeight="1">
      <x:c r="G22" s="113" t="str">
        <x:v>4</x:v>
      </x:c>
      <x:c r="H22" s="118" t="str">
        <x:v>Enter explicit revenue/COGS allocation assumptions in Margin_Framework; do not backsolve them from ARR alone.</x:v>
      </x:c>
      <x:c r="I22" s="118"/>
      <x:c r="J22" s="118"/>
      <x:c r="K22" s="118"/>
      <x:c r="L22" s="118"/>
    </x:row>
    <x:row r="23" ht="40" customHeight="1">
      <x:c r="G23" s="113" t="str">
        <x:v>5</x:v>
      </x:c>
      <x:c r="H23" s="119" t="str">
        <x:v>Review QA_Flags and Source_Index before publishing any conclusion.</x:v>
      </x:c>
      <x:c r="I23" s="119"/>
      <x:c r="J23" s="119"/>
      <x:c r="K23" s="119"/>
      <x:c r="L23" s="119"/>
    </x:row>
    <x:row r="35">
      <x:c r="A35" s="55" t="str">
        <x:v>Evidence hierarchy &amp; readiness</x:v>
      </x:c>
      <x:c r="B35" s="55"/>
      <x:c r="C35" s="55"/>
      <x:c r="D35" s="55"/>
      <x:c r="E35" s="55"/>
      <x:c r="F35" s="55"/>
      <x:c r="G35" s="55"/>
      <x:c r="H35" s="55"/>
      <x:c r="I35" s="55"/>
      <x:c r="J35" s="55"/>
      <x:c r="K35" s="55"/>
      <x:c r="L35" s="55"/>
    </x:row>
    <x:row r="36">
      <x:c r="A36" s="12" t="str">
        <x:v>Layer</x:v>
      </x:c>
      <x:c r="B36" s="12"/>
      <x:c r="C36" s="12"/>
      <x:c r="D36" s="12" t="str">
        <x:v>What is available</x:v>
      </x:c>
      <x:c r="E36" s="12"/>
      <x:c r="F36" s="12"/>
      <x:c r="G36" s="12" t="str">
        <x:v>Evidence label</x:v>
      </x:c>
      <x:c r="H36" s="12"/>
      <x:c r="I36" s="12"/>
      <x:c r="J36" s="12" t="str">
        <x:v>Readiness</x:v>
      </x:c>
      <x:c r="K36" s="12"/>
      <x:c r="L36" s="12"/>
    </x:row>
    <x:row r="37">
      <x:c r="A37" s="43" t="str">
        <x:v>Consolidated margin</x:v>
      </x:c>
      <x:c r="B37" s="43"/>
      <x:c r="C37" s="43"/>
      <x:c r="D37" s="43" t="str">
        <x:v>Quarterly/annual revenue, COGS, GAAP and non-GAAP gross margin</x:v>
      </x:c>
      <x:c r="E37" s="43"/>
      <x:c r="F37" s="43"/>
      <x:c r="G37" s="43" t="str">
        <x:v>Fact / derived</x:v>
      </x:c>
      <x:c r="H37" s="43"/>
      <x:c r="I37" s="43"/>
      <x:c r="J37" s="121" t="str">
        <x:v>Decision-grade</x:v>
      </x:c>
      <x:c r="K37" s="121"/>
      <x:c r="L37" s="121"/>
    </x:row>
    <x:row r="38">
      <x:c r="A38" s="43" t="str">
        <x:v>Product mix</x:v>
      </x:c>
      <x:c r="B38" s="43"/>
      <x:c r="C38" s="43"/>
      <x:c r="D38" s="43" t="str">
        <x:v>Sparse ARR lower bounds, product-count bands, adoption cohorts</x:v>
      </x:c>
      <x:c r="E38" s="43"/>
      <x:c r="F38" s="43"/>
      <x:c r="G38" s="43" t="str">
        <x:v>Management claim</x:v>
      </x:c>
      <x:c r="H38" s="43"/>
      <x:c r="I38" s="43"/>
      <x:c r="J38" s="76" t="str">
        <x:v>Research-grade</x:v>
      </x:c>
      <x:c r="K38" s="76"/>
      <x:c r="L38" s="76"/>
    </x:row>
    <x:row r="39">
      <x:c r="A39" s="43" t="str">
        <x:v>Product pricing</x:v>
      </x:c>
      <x:c r="B39" s="43"/>
      <x:c r="C39" s="43"/>
      <x:c r="D39" s="43" t="str">
        <x:v>103 current public list-price rows and pricing units</x:v>
      </x:c>
      <x:c r="E39" s="43"/>
      <x:c r="F39" s="43"/>
      <x:c r="G39" s="43" t="str">
        <x:v>Current fact + analyst taxonomy</x:v>
      </x:c>
      <x:c r="H39" s="43"/>
      <x:c r="I39" s="43"/>
      <x:c r="J39" s="76" t="str">
        <x:v>Research-grade</x:v>
      </x:c>
      <x:c r="K39" s="76"/>
      <x:c r="L39" s="76"/>
    </x:row>
    <x:row r="40">
      <x:c r="A40" s="45" t="str">
        <x:v>Product margin</x:v>
      </x:c>
      <x:c r="B40" s="45"/>
      <x:c r="C40" s="45"/>
      <x:c r="D40" s="45" t="str">
        <x:v>No disclosed product revenue, COGS or shared-cost allocations</x:v>
      </x:c>
      <x:c r="E40" s="45"/>
      <x:c r="F40" s="45"/>
      <x:c r="G40" s="45" t="str">
        <x:v>Missing</x:v>
      </x:c>
      <x:c r="H40" s="45"/>
      <x:c r="I40" s="45"/>
      <x:c r="J40" s="123" t="str">
        <x:v>Not decision-grade</x:v>
      </x:c>
      <x:c r="K40" s="123"/>
      <x:c r="L40" s="123"/>
    </x:row>
    <x:row r="42">
      <x:c r="A42" s="55" t="str">
        <x:v>Workbook map</x:v>
      </x:c>
      <x:c r="B42" s="55"/>
      <x:c r="C42" s="55"/>
      <x:c r="D42" s="55"/>
      <x:c r="E42" s="55"/>
      <x:c r="F42" s="55"/>
      <x:c r="G42" s="55"/>
      <x:c r="H42" s="55"/>
      <x:c r="I42" s="55"/>
      <x:c r="J42" s="55"/>
      <x:c r="K42" s="55"/>
      <x:c r="L42" s="55"/>
    </x:row>
    <x:row r="43">
      <x:c r="A43" s="124" t="str">
        <x:v>Quarterly_Financials</x:v>
      </x:c>
      <x:c r="B43" s="124"/>
      <x:c r="C43" s="124"/>
      <x:c r="D43" s="43" t="str">
        <x:v>27 quarters of GAAP/non-GAAP margin and large-customer KPI</x:v>
      </x:c>
      <x:c r="E43" s="43"/>
      <x:c r="F43" s="43"/>
      <x:c r="G43" s="43"/>
      <x:c r="H43" s="43"/>
      <x:c r="I43" s="43"/>
      <x:c r="J43" s="43"/>
      <x:c r="K43" s="43"/>
      <x:c r="L43" s="43"/>
    </x:row>
    <x:row r="44">
      <x:c r="A44" s="124" t="str">
        <x:v>Annual_Financials</x:v>
      </x:c>
      <x:c r="B44" s="124"/>
      <x:c r="C44" s="124"/>
      <x:c r="D44" s="43" t="str">
        <x:v>FY2018–FY2025 P&amp;L and gross-margin history</x:v>
      </x:c>
      <x:c r="E44" s="43"/>
      <x:c r="F44" s="43"/>
      <x:c r="G44" s="43"/>
      <x:c r="H44" s="43"/>
      <x:c r="I44" s="43"/>
      <x:c r="J44" s="43"/>
      <x:c r="K44" s="43"/>
      <x:c r="L44" s="43"/>
    </x:row>
    <x:row r="45">
      <x:c r="A45" s="124" t="str">
        <x:v>Product_Adoption</x:v>
      </x:c>
      <x:c r="B45" s="124"/>
      <x:c r="C45" s="124"/>
      <x:c r="D45" s="43" t="str">
        <x:v>24-quarter adoption history with direct/comparative basis</x:v>
      </x:c>
      <x:c r="E45" s="43"/>
      <x:c r="F45" s="43"/>
      <x:c r="G45" s="43"/>
      <x:c r="H45" s="43"/>
      <x:c r="I45" s="43"/>
      <x:c r="J45" s="43"/>
      <x:c r="K45" s="43"/>
      <x:c r="L45" s="43"/>
    </x:row>
    <x:row r="46">
      <x:c r="A46" s="124" t="str">
        <x:v>Product_ARR</x:v>
      </x:c>
      <x:c r="B46" s="124"/>
      <x:c r="C46" s="124"/>
      <x:c r="D46" s="43" t="str">
        <x:v>All located product ARR, revenue-share and customer milestones</x:v>
      </x:c>
      <x:c r="E46" s="43"/>
      <x:c r="F46" s="43"/>
      <x:c r="G46" s="43"/>
      <x:c r="H46" s="43"/>
      <x:c r="I46" s="43"/>
      <x:c r="J46" s="43"/>
      <x:c r="K46" s="43"/>
      <x:c r="L46" s="43"/>
    </x:row>
    <x:row r="47">
      <x:c r="A47" s="124" t="str">
        <x:v>Pricing_Current</x:v>
      </x:c>
      <x:c r="B47" s="124"/>
      <x:c r="C47" s="124"/>
      <x:c r="D47" s="43" t="str">
        <x:v>103 current list-pricing rows, classified into business directions</x:v>
      </x:c>
      <x:c r="E47" s="43"/>
      <x:c r="F47" s="43"/>
      <x:c r="G47" s="43"/>
      <x:c r="H47" s="43"/>
      <x:c r="I47" s="43"/>
      <x:c r="J47" s="43"/>
      <x:c r="K47" s="43"/>
      <x:c r="L47" s="43"/>
    </x:row>
    <x:row r="48">
      <x:c r="A48" s="124" t="str">
        <x:v>Cost_Drivers / Geography</x:v>
      </x:c>
      <x:c r="B48" s="124"/>
      <x:c r="C48" s="124"/>
      <x:c r="D48" s="43" t="str">
        <x:v>Consolidated cost drivers and regional mix</x:v>
      </x:c>
      <x:c r="E48" s="43"/>
      <x:c r="F48" s="43"/>
      <x:c r="G48" s="43"/>
      <x:c r="H48" s="43"/>
      <x:c r="I48" s="43"/>
      <x:c r="J48" s="43"/>
      <x:c r="K48" s="43"/>
      <x:c r="L48" s="43"/>
    </x:row>
    <x:row r="49">
      <x:c r="A49" s="124" t="str">
        <x:v>Margin_Framework</x:v>
      </x:c>
      <x:c r="B49" s="124"/>
      <x:c r="C49" s="124"/>
      <x:c r="D49" s="43" t="str">
        <x:v>Blank, auditable allocation template + data-needs matrix</x:v>
      </x:c>
      <x:c r="E49" s="43"/>
      <x:c r="F49" s="43"/>
      <x:c r="G49" s="43"/>
      <x:c r="H49" s="43"/>
      <x:c r="I49" s="43"/>
      <x:c r="J49" s="43"/>
      <x:c r="K49" s="43"/>
      <x:c r="L49" s="43"/>
    </x:row>
    <x:row r="50">
      <x:c r="A50" s="125" t="str">
        <x:v>Source_Index / QA_Flags / Validation_Checks</x:v>
      </x:c>
      <x:c r="B50" s="125"/>
      <x:c r="C50" s="125"/>
      <x:c r="D50" s="45" t="str">
        <x:v>Source verification, conflicts and automated checks</x:v>
      </x:c>
      <x:c r="E50" s="45"/>
      <x:c r="F50" s="45"/>
      <x:c r="G50" s="45"/>
      <x:c r="H50" s="45"/>
      <x:c r="I50" s="45"/>
      <x:c r="J50" s="45"/>
      <x:c r="K50" s="45"/>
      <x:c r="L50" s="45"/>
    </x:row>
  </x:sheetData>
  <x:mergeCells>
    <x:mergeCell ref="A1:L2"/>
    <x:mergeCell ref="A3:L3"/>
    <x:mergeCell ref="A5:L5"/>
    <x:mergeCell ref="A6:L8"/>
    <x:mergeCell ref="A10:F10"/>
    <x:mergeCell ref="A11:B11"/>
    <x:mergeCell ref="C11:D11"/>
    <x:mergeCell ref="E11:F11"/>
    <x:mergeCell ref="A12:B12"/>
    <x:mergeCell ref="C12:D12"/>
    <x:mergeCell ref="E12:F12"/>
    <x:mergeCell ref="A13:B13"/>
    <x:mergeCell ref="C13:D13"/>
    <x:mergeCell ref="E13:F13"/>
    <x:mergeCell ref="A14:B14"/>
    <x:mergeCell ref="C14:D14"/>
    <x:mergeCell ref="E14:F14"/>
    <x:mergeCell ref="G10:L10"/>
    <x:mergeCell ref="G11:K11"/>
    <x:mergeCell ref="G12:K12"/>
    <x:mergeCell ref="G13:K13"/>
    <x:mergeCell ref="G14:K14"/>
    <x:mergeCell ref="G15:K15"/>
    <x:mergeCell ref="G16:K16"/>
    <x:mergeCell ref="A18:F18"/>
    <x:mergeCell ref="G18:L18"/>
    <x:mergeCell ref="H19:L19"/>
    <x:mergeCell ref="H20:L20"/>
    <x:mergeCell ref="H21:L21"/>
    <x:mergeCell ref="H22:L22"/>
    <x:mergeCell ref="H23:L23"/>
    <x:mergeCell ref="A35:L35"/>
    <x:mergeCell ref="A36:C36"/>
    <x:mergeCell ref="A37:C37"/>
    <x:mergeCell ref="A38:C38"/>
    <x:mergeCell ref="A39:C39"/>
    <x:mergeCell ref="A40:C40"/>
    <x:mergeCell ref="D36:F36"/>
    <x:mergeCell ref="D37:F37"/>
    <x:mergeCell ref="D38:F38"/>
    <x:mergeCell ref="D39:F39"/>
    <x:mergeCell ref="D40:F40"/>
    <x:mergeCell ref="G36:I36"/>
    <x:mergeCell ref="G37:I37"/>
    <x:mergeCell ref="G38:I38"/>
    <x:mergeCell ref="G39:I39"/>
    <x:mergeCell ref="G40:I40"/>
    <x:mergeCell ref="J36:L36"/>
    <x:mergeCell ref="J37:L37"/>
    <x:mergeCell ref="J38:L38"/>
    <x:mergeCell ref="J39:L39"/>
    <x:mergeCell ref="J40:L40"/>
    <x:mergeCell ref="A42:L42"/>
    <x:mergeCell ref="A43:C43"/>
    <x:mergeCell ref="A44:C44"/>
    <x:mergeCell ref="A45:C45"/>
    <x:mergeCell ref="A46:C46"/>
    <x:mergeCell ref="A47:C47"/>
    <x:mergeCell ref="A48:C48"/>
    <x:mergeCell ref="A49:C49"/>
    <x:mergeCell ref="A50:C50"/>
    <x:mergeCell ref="D43:L43"/>
    <x:mergeCell ref="D44:L44"/>
    <x:mergeCell ref="D45:L45"/>
    <x:mergeCell ref="D46:L46"/>
    <x:mergeCell ref="D47:L47"/>
    <x:mergeCell ref="D48:L48"/>
    <x:mergeCell ref="D49:L49"/>
    <x:mergeCell ref="D50:L50"/>
  </x:mergeCells>
  <x:pageMargins left="0.7" right="0.7" top="0.75" bottom="0.75" header="0.3" footer="0.3"/>
  <x:drawing xmlns:r="http://schemas.openxmlformats.org/officeDocument/2006/relationships" r:id="R255ec94b1e114dee"/>
</x:worksheet>
</file>

<file path=xl/worksheets/sheet2.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9.779999732971191" hidden="0" customWidth="1"/>
    <x:col min="3" max="3" width="9.109999656677246" hidden="0" customWidth="1"/>
    <x:col min="4" max="4" width="10.220000267028809" hidden="0" customWidth="1"/>
    <x:col min="5" max="5" width="9.329999923706055" hidden="0" customWidth="1"/>
    <x:col min="6" max="6" width="9.779999732971191" hidden="0" customWidth="1"/>
    <x:col min="7" max="7" width="10.890000343322754" hidden="0" customWidth="1"/>
    <x:col min="8" max="8" width="11.109999656677246" hidden="0" customWidth="1"/>
    <x:col min="9" max="9" width="9.109999656677246" hidden="0" customWidth="1"/>
    <x:col min="10" max="10" width="8.890000343322754" hidden="0" customWidth="1"/>
    <x:col min="11" max="11" width="10.220000267028809" hidden="0" customWidth="1"/>
    <x:col min="12" max="12" width="8" hidden="0" customWidth="1"/>
    <x:col min="13" max="13" width="9.5600004196167" hidden="0" customWidth="1"/>
    <x:col min="14" max="14" width="10.220000267028809" hidden="0" customWidth="1"/>
    <x:col min="15" max="15" width="10.890000343322754" hidden="0" customWidth="1"/>
    <x:col min="16" max="16" width="8.220000267028809" hidden="0" customWidth="1"/>
    <x:col min="17" max="17" width="10.220000267028809" hidden="0" customWidth="1"/>
    <x:col min="18" max="18" width="10.220000267028809" hidden="0" customWidth="1"/>
    <x:col min="19" max="19" width="27.780000686645508" hidden="0" customWidth="1"/>
  </x:cols>
  <x:sheetData>
    <x:row r="1" ht="28" customHeight="1">
      <x:c r="A1" s="126" t="str">
        <x:v>Datadog — quarterly financial history</x:v>
      </x:c>
      <x:c r="B1" s="3"/>
      <x:c r="C1" s="3"/>
      <x:c r="D1" s="3"/>
      <x:c r="E1" s="3"/>
      <x:c r="F1" s="3"/>
      <x:c r="G1" s="3"/>
      <x:c r="H1" s="3"/>
      <x:c r="I1" s="3"/>
      <x:c r="J1" s="3"/>
      <x:c r="K1" s="3"/>
      <x:c r="L1" s="3"/>
      <x:c r="M1" s="3"/>
      <x:c r="N1" s="3"/>
      <x:c r="O1" s="3"/>
      <x:c r="P1" s="3"/>
      <x:c r="Q1" s="3"/>
      <x:c r="R1" s="3"/>
      <x:c r="S1" s="3"/>
    </x:row>
    <x:row r="2" ht="28" customHeight="1">
      <x:c r="A2" s="3"/>
      <x:c r="B2" s="3"/>
      <x:c r="C2" s="3"/>
      <x:c r="D2" s="3"/>
      <x:c r="E2" s="3"/>
      <x:c r="F2" s="3"/>
      <x:c r="G2" s="3"/>
      <x:c r="H2" s="3"/>
      <x:c r="I2" s="3"/>
      <x:c r="J2" s="3"/>
      <x:c r="K2" s="3"/>
      <x:c r="L2" s="3"/>
      <x:c r="M2" s="3"/>
      <x:c r="N2" s="3"/>
      <x:c r="O2" s="3"/>
      <x:c r="P2" s="3"/>
      <x:c r="Q2" s="3"/>
      <x:c r="R2" s="3"/>
      <x:c r="S2" s="3"/>
    </x:row>
    <x:row r="3" ht="30" customHeight="1">
      <x:c r="A3" s="127" t="str">
        <x:v>USD millions unless stated; GAAP facts from SEC XBRL/earnings releases, non-GAAP gross profit from official SEC exhibits. Q4 values are derived from FY less Q1–Q3 except Q4 2019.</x:v>
      </x:c>
      <x:c r="B3" s="7"/>
      <x:c r="C3" s="7"/>
      <x:c r="D3" s="7"/>
      <x:c r="E3" s="7"/>
      <x:c r="F3" s="7"/>
      <x:c r="G3" s="7"/>
      <x:c r="H3" s="7"/>
      <x:c r="I3" s="7"/>
      <x:c r="J3" s="7"/>
      <x:c r="K3" s="7"/>
      <x:c r="L3" s="7"/>
      <x:c r="M3" s="7"/>
      <x:c r="N3" s="7"/>
      <x:c r="O3" s="7"/>
      <x:c r="P3" s="7"/>
      <x:c r="Q3" s="7"/>
      <x:c r="R3" s="7"/>
      <x:c r="S3" s="7"/>
    </x:row>
    <x:row r="5">
      <x:c r="A5" s="12" t="str">
        <x:v>Period</x:v>
      </x:c>
      <x:c r="B5" s="12" t="str">
        <x:v>Period end</x:v>
      </x:c>
      <x:c r="C5" s="12" t="str">
        <x:v>Revenue</x:v>
      </x:c>
      <x:c r="D5" s="12" t="str">
        <x:v>Cost of revenue</x:v>
      </x:c>
      <x:c r="E5" s="12" t="str">
        <x:v>Gross profit</x:v>
      </x:c>
      <x:c r="F5" s="12" t="str">
        <x:v>GAAP gross margin</x:v>
      </x:c>
      <x:c r="G5" s="12" t="str">
        <x:v>Non-GAAP gross profit</x:v>
      </x:c>
      <x:c r="H5" s="12" t="str">
        <x:v>Non-GAAP gross margin</x:v>
      </x:c>
      <x:c r="I5" s="12" t="str">
        <x:v>NG–GAAP (bps)</x:v>
      </x:c>
      <x:c r="J5" s="12" t="str">
        <x:v>R&amp;D</x:v>
      </x:c>
      <x:c r="K5" s="12" t="str">
        <x:v>Sales &amp; marketing</x:v>
      </x:c>
      <x:c r="L5" s="12" t="str">
        <x:v>G&amp;A</x:v>
      </x:c>
      <x:c r="M5" s="12" t="str">
        <x:v>Operating income</x:v>
      </x:c>
      <x:c r="N5" s="12" t="str">
        <x:v>GAAP operating margin</x:v>
      </x:c>
      <x:c r="O5" s="12" t="str">
        <x:v>Customers &gt;$100k ARR</x:v>
      </x:c>
      <x:c r="P5" s="12" t="str">
        <x:v>Q4 derived?</x:v>
      </x:c>
      <x:c r="Q5" s="12" t="str">
        <x:v>Financial Source ID</x:v>
      </x:c>
      <x:c r="R5" s="12" t="str">
        <x:v>Release Source ID</x:v>
      </x:c>
      <x:c r="S5" s="12" t="str">
        <x:v>Official release URL</x:v>
      </x:c>
    </x:row>
    <x:row r="6">
      <x:c r="A6" s="29" t="str">
        <x:v>2019Q3</x:v>
      </x:c>
      <x:c r="B6" s="30" t="n">
        <x:v>43738</x:v>
      </x:c>
      <x:c r="C6" s="31" t="n">
        <x:v>95.864</x:v>
      </x:c>
      <x:c r="D6" s="31" t="n">
        <x:v>23.297</x:v>
      </x:c>
      <x:c r="E6" s="31" t="n">
        <x:v>72.567</x:v>
      </x:c>
      <x:c r="F6" s="32" t="n">
        <x:f>IFERROR(E6/C6,"")</x:f>
        <x:v>0.7569786364015688</x:v>
      </x:c>
      <x:c r="G6" s="32" t="n">
        <x:v>72.907</x:v>
      </x:c>
      <x:c r="H6" s="32" t="n">
        <x:f>IFERROR(G6/C6,"")</x:f>
        <x:v>0.7605253275473587</x:v>
      </x:c>
      <x:c r="I6" s="33" t="n">
        <x:f>IF(OR(F6="",H6=""),"", (H6-F6)*10000)</x:f>
        <x:v>35.46691145789871</x:v>
      </x:c>
      <x:c r="J6" s="31" t="n">
        <x:v>28.684</x:v>
      </x:c>
      <x:c r="K6" s="31" t="n">
        <x:v>38.836</x:v>
      </x:c>
      <x:c r="L6" s="31" t="n">
        <x:v>9.265</x:v>
      </x:c>
      <x:c r="M6" s="31" t="n">
        <x:v>-4.218</x:v>
      </x:c>
      <x:c r="N6" s="32" t="n">
        <x:f>IFERROR(M6/C6,"")</x:f>
        <x:v>-0.04399983309688726</x:v>
      </x:c>
      <x:c r="O6" s="34" t="n">
        <x:v>727</x:v>
      </x:c>
      <x:c r="P6" s="29" t="str">
        <x:v>No</x:v>
      </x:c>
      <x:c r="Q6" s="43" t="str">
        <x:v>SEC-XBRL</x:v>
      </x:c>
      <x:c r="R6" s="43" t="str">
        <x:v>ER-2019Q3</x:v>
      </x:c>
      <x:c r="S6" s="44" t="str">
        <x:v>https://www.sec.gov/Archives/edgar/data/1561550/000156459019042935/ddog-ex991_6.htm</x:v>
      </x:c>
    </x:row>
    <x:row r="7">
      <x:c r="A7" s="29" t="str">
        <x:v>2019Q4</x:v>
      </x:c>
      <x:c r="B7" s="30" t="n">
        <x:v>43830</x:v>
      </x:c>
      <x:c r="C7" s="31" t="n">
        <x:v>113.644</x:v>
      </x:c>
      <x:c r="D7" s="31" t="n">
        <x:v>25.724</x:v>
      </x:c>
      <x:c r="E7" s="31" t="n">
        <x:v>87.92</x:v>
      </x:c>
      <x:c r="F7" s="32" t="n">
        <x:f>IFERROR(E7/C7,"")</x:f>
        <x:v>0.7736440111224525</x:v>
      </x:c>
      <x:c r="G7" s="32" t="n">
        <x:v>88.351</x:v>
      </x:c>
      <x:c r="H7" s="32" t="n">
        <x:f>IFERROR(G7/C7,"")</x:f>
        <x:v>0.777436556263419</x:v>
      </x:c>
      <x:c r="I7" s="33" t="n">
        <x:f>IF(OR(F7="",H7=""),"", (H7-F7)*10000)</x:f>
        <x:v>37.925451409664966</x:v>
      </x:c>
      <x:c r="J7" s="31" t="n">
        <x:v>35.894</x:v>
      </x:c>
      <x:c r="K7" s="31" t="n">
        <x:v>41.596</x:v>
      </x:c>
      <x:c r="L7" s="31" t="n">
        <x:v>12.696</x:v>
      </x:c>
      <x:c r="M7" s="31" t="n">
        <x:v>-2.266</x:v>
      </x:c>
      <x:c r="N7" s="32" t="n">
        <x:f>IFERROR(M7/C7,"")</x:f>
        <x:v>-0.01993946006828341</x:v>
      </x:c>
      <x:c r="O7" s="34" t="n">
        <x:v>858</x:v>
      </x:c>
      <x:c r="P7" s="29" t="str">
        <x:v>No</x:v>
      </x:c>
      <x:c r="Q7" s="43" t="str">
        <x:v>ER-2019Q4</x:v>
      </x:c>
      <x:c r="R7" s="43" t="str">
        <x:v>ER-2019Q4</x:v>
      </x:c>
      <x:c r="S7" s="44" t="str">
        <x:v>https://www.sec.gov/Archives/edgar/data/1561550/000156459020004607/ddog-ex991_6.htm</x:v>
      </x:c>
    </x:row>
    <x:row r="8">
      <x:c r="A8" s="29" t="str">
        <x:v>2020Q1</x:v>
      </x:c>
      <x:c r="B8" s="30" t="n">
        <x:v>43921</x:v>
      </x:c>
      <x:c r="C8" s="31" t="n">
        <x:v>131.248</x:v>
      </x:c>
      <x:c r="D8" s="31" t="n">
        <x:v>26.479</x:v>
      </x:c>
      <x:c r="E8" s="31" t="n">
        <x:v>104.769</x:v>
      </x:c>
      <x:c r="F8" s="32" t="n">
        <x:f>IFERROR(E8/C8,"")</x:f>
        <x:v>0.7982521638424968</x:v>
      </x:c>
      <x:c r="G8" s="32" t="n">
        <x:v>105.247</x:v>
      </x:c>
      <x:c r="H8" s="32" t="n">
        <x:f>IFERROR(G8/C8,"")</x:f>
        <x:v>0.8018941241009387</x:v>
      </x:c>
      <x:c r="I8" s="33" t="n">
        <x:f>IF(OR(F8="",H8=""),"", (H8-F8)*10000)</x:f>
        <x:v>36.4196025844199</x:v>
      </x:c>
      <x:c r="J8" s="31" t="n">
        <x:v>40.824</x:v>
      </x:c>
      <x:c r="K8" s="31" t="n">
        <x:v>45.215</x:v>
      </x:c>
      <x:c r="L8" s="31" t="n">
        <x:v>14.952</x:v>
      </x:c>
      <x:c r="M8" s="31" t="n">
        <x:v>3.778</x:v>
      </x:c>
      <x:c r="N8" s="32" t="n">
        <x:f>IFERROR(M8/C8,"")</x:f>
        <x:v>0.028785200536389128</x:v>
      </x:c>
      <x:c r="O8" s="34" t="n">
        <x:v>960</x:v>
      </x:c>
      <x:c r="P8" s="29" t="str">
        <x:v>No</x:v>
      </x:c>
      <x:c r="Q8" s="43" t="str">
        <x:v>SEC-XBRL</x:v>
      </x:c>
      <x:c r="R8" s="43" t="str">
        <x:v>ER-2020Q1</x:v>
      </x:c>
      <x:c r="S8" s="44" t="str">
        <x:v>https://www.sec.gov/Archives/edgar/data/1561550/000156459020024231/ddog-ex991_6.htm</x:v>
      </x:c>
    </x:row>
    <x:row r="9">
      <x:c r="A9" s="29" t="str">
        <x:v>2020Q2</x:v>
      </x:c>
      <x:c r="B9" s="30" t="n">
        <x:v>44012</x:v>
      </x:c>
      <x:c r="C9" s="31" t="n">
        <x:v>140.012</x:v>
      </x:c>
      <x:c r="D9" s="31" t="n">
        <x:v>28.878</x:v>
      </x:c>
      <x:c r="E9" s="31" t="n">
        <x:v>111.134</x:v>
      </x:c>
      <x:c r="F9" s="32" t="n">
        <x:f>IFERROR(E9/C9,"")</x:f>
        <x:v>0.793746250321401</x:v>
      </x:c>
      <x:c r="G9" s="32" t="n">
        <x:v>111.809</x:v>
      </x:c>
      <x:c r="H9" s="32" t="n">
        <x:f>IFERROR(G9/C9,"")</x:f>
        <x:v>0.7985672656629431</x:v>
      </x:c>
      <x:c r="I9" s="33" t="n">
        <x:f>IF(OR(F9="",H9=""),"", (H9-F9)*10000)</x:f>
        <x:v>48.21015341542112</x:v>
      </x:c>
      <x:c r="J9" s="31" t="n">
        <x:v>45.664</x:v>
      </x:c>
      <x:c r="K9" s="31" t="n">
        <x:v>51.269</x:v>
      </x:c>
      <x:c r="L9" s="31" t="n">
        <x:v>13.547</x:v>
      </x:c>
      <x:c r="M9" s="31" t="n">
        <x:v>0.654</x:v>
      </x:c>
      <x:c r="N9" s="32" t="n">
        <x:f>IFERROR(M9/C9,"")</x:f>
        <x:v>0.004671028197583064</x:v>
      </x:c>
      <x:c r="O9" s="34" t="n">
        <x:v>1015</x:v>
      </x:c>
      <x:c r="P9" s="29" t="str">
        <x:v>No</x:v>
      </x:c>
      <x:c r="Q9" s="43" t="str">
        <x:v>SEC-XBRL</x:v>
      </x:c>
      <x:c r="R9" s="43" t="str">
        <x:v>ER-2020Q2</x:v>
      </x:c>
      <x:c r="S9" s="44" t="str">
        <x:v>https://www.sec.gov/Archives/edgar/data/1561550/000156459020037808/ddog-ex991_6.htm</x:v>
      </x:c>
    </x:row>
    <x:row r="10">
      <x:c r="A10" s="29" t="str">
        <x:v>2020Q3</x:v>
      </x:c>
      <x:c r="B10" s="30" t="n">
        <x:v>44104</x:v>
      </x:c>
      <x:c r="C10" s="31" t="n">
        <x:v>154.675</x:v>
      </x:c>
      <x:c r="D10" s="31" t="n">
        <x:v>33.984</x:v>
      </x:c>
      <x:c r="E10" s="31" t="n">
        <x:v>120.691</x:v>
      </x:c>
      <x:c r="F10" s="32" t="n">
        <x:f>IFERROR(E10/C10,"")</x:f>
        <x:v>0.7802877000161629</x:v>
      </x:c>
      <x:c r="G10" s="32" t="n">
        <x:v>121.526</x:v>
      </x:c>
      <x:c r="H10" s="32" t="n">
        <x:f>IFERROR(G10/C10,"")</x:f>
        <x:v>0.7856861160497817</x:v>
      </x:c>
      <x:c r="I10" s="33" t="n">
        <x:f>IF(OR(F10="",H10=""),"", (H10-F10)*10000)</x:f>
        <x:v>53.98416033618791</x:v>
      </x:c>
      <x:c r="J10" s="31" t="n">
        <x:v>56.44</x:v>
      </x:c>
      <x:c r="K10" s="31" t="n">
        <x:v>57.142</x:v>
      </x:c>
      <x:c r="L10" s="31" t="n">
        <x:v>16.376</x:v>
      </x:c>
      <x:c r="M10" s="31" t="n">
        <x:v>-9.267</x:v>
      </x:c>
      <x:c r="N10" s="32" t="n">
        <x:f>IFERROR(M10/C10,"")</x:f>
        <x:v>-0.05991272021981574</x:v>
      </x:c>
      <x:c r="O10" s="34" t="n">
        <x:v>1107</x:v>
      </x:c>
      <x:c r="P10" s="29" t="str">
        <x:v>No</x:v>
      </x:c>
      <x:c r="Q10" s="43" t="str">
        <x:v>SEC-XBRL</x:v>
      </x:c>
      <x:c r="R10" s="43" t="str">
        <x:v>ER-2020Q3</x:v>
      </x:c>
      <x:c r="S10" s="44" t="str">
        <x:v>https://www.sec.gov/Archives/edgar/data/1561550/000156459020052986/ddog-ex991_6.htm</x:v>
      </x:c>
    </x:row>
    <x:row r="11">
      <x:c r="A11" s="29" t="str">
        <x:v>2020Q4</x:v>
      </x:c>
      <x:c r="B11" s="30" t="n">
        <x:v>44196</x:v>
      </x:c>
      <x:c r="C11" s="31" t="n">
        <x:v>177.531</x:v>
      </x:c>
      <x:c r="D11" s="31" t="n">
        <x:v>40.855999999999995</x:v>
      </x:c>
      <x:c r="E11" s="31" t="n">
        <x:v>136.675</x:v>
      </x:c>
      <x:c r="F11" s="32" t="n">
        <x:f>IFERROR(E11/C11,"")</x:f>
        <x:v>0.7698655446091106</x:v>
      </x:c>
      <x:c r="G11" s="32" t="n">
        <x:v>137.61</x:v>
      </x:c>
      <x:c r="H11" s="32" t="n">
        <x:f>IFERROR(G11/C11,"")</x:f>
        <x:v>0.775132230427362</x:v>
      </x:c>
      <x:c r="I11" s="33" t="n">
        <x:f>IF(OR(F11="",H11=""),"", (H11-F11)*10000)</x:f>
        <x:v>52.66685818251404</x:v>
      </x:c>
      <x:c r="J11" s="31" t="n">
        <x:v>67.69800000000001</x:v>
      </x:c>
      <x:c r="K11" s="31" t="n">
        <x:v>60.03399999999999</x:v>
      </x:c>
      <x:c r="L11" s="31" t="n">
        <x:v>17.881</x:v>
      </x:c>
      <x:c r="M11" s="31" t="n">
        <x:v>-8.938</x:v>
      </x:c>
      <x:c r="N11" s="32" t="n">
        <x:f>IFERROR(M11/C11,"")</x:f>
        <x:v>-0.05034613673104979</x:v>
      </x:c>
      <x:c r="O11" s="34" t="n">
        <x:v>1253</x:v>
      </x:c>
      <x:c r="P11" s="29" t="str">
        <x:v>Yes</x:v>
      </x:c>
      <x:c r="Q11" s="43" t="str">
        <x:v>SEC-XBRL</x:v>
      </x:c>
      <x:c r="R11" s="43" t="str">
        <x:v>ER-2020Q4</x:v>
      </x:c>
      <x:c r="S11" s="44" t="str">
        <x:v>https://www.sec.gov/Archives/edgar/data/1561550/000156459021005553/ddog-ex991_6.htm</x:v>
      </x:c>
    </x:row>
    <x:row r="12">
      <x:c r="A12" s="29" t="str">
        <x:v>2021Q1</x:v>
      </x:c>
      <x:c r="B12" s="30" t="n">
        <x:v>44286</x:v>
      </x:c>
      <x:c r="C12" s="31" t="n">
        <x:v>198.549</x:v>
      </x:c>
      <x:c r="D12" s="31" t="n">
        <x:v>46.666</x:v>
      </x:c>
      <x:c r="E12" s="31" t="n">
        <x:v>151.883</x:v>
      </x:c>
      <x:c r="F12" s="32" t="n">
        <x:f>IFERROR(E12/C12,"")</x:f>
        <x:v>0.7649648197674126</x:v>
      </x:c>
      <x:c r="G12" s="32" t="n">
        <x:v>153.034</x:v>
      </x:c>
      <x:c r="H12" s="32" t="n">
        <x:f>IFERROR(G12/C12,"")</x:f>
        <x:v>0.770761877420687</x:v>
      </x:c>
      <x:c r="I12" s="33" t="n">
        <x:f>IF(OR(F12="",H12=""),"", (H12-F12)*10000)</x:f>
        <x:v>57.97057653274429</x:v>
      </x:c>
      <x:c r="J12" s="31" t="n">
        <x:v>79.266</x:v>
      </x:c>
      <x:c r="K12" s="31" t="n">
        <x:v>64.353</x:v>
      </x:c>
      <x:c r="L12" s="31" t="n">
        <x:v>21.094</x:v>
      </x:c>
      <x:c r="M12" s="31" t="n">
        <x:v>-12.83</x:v>
      </x:c>
      <x:c r="N12" s="32" t="n">
        <x:f>IFERROR(M12/C12,"")</x:f>
        <x:v>-0.06461880946265154</x:v>
      </x:c>
      <x:c r="O12" s="34" t="n">
        <x:v>1437</x:v>
      </x:c>
      <x:c r="P12" s="29" t="str">
        <x:v>No</x:v>
      </x:c>
      <x:c r="Q12" s="43" t="str">
        <x:v>SEC-XBRL</x:v>
      </x:c>
      <x:c r="R12" s="43" t="str">
        <x:v>ER-2021Q1</x:v>
      </x:c>
      <x:c r="S12" s="44" t="str">
        <x:v>https://www.sec.gov/Archives/edgar/data/1561550/000156155021000004/ex-991x20210331x8k.htm</x:v>
      </x:c>
    </x:row>
    <x:row r="13">
      <x:c r="A13" s="29" t="str">
        <x:v>2021Q2</x:v>
      </x:c>
      <x:c r="B13" s="30" t="n">
        <x:v>44377</x:v>
      </x:c>
      <x:c r="C13" s="31" t="n">
        <x:v>233.549</x:v>
      </x:c>
      <x:c r="D13" s="31" t="n">
        <x:v>57.098</x:v>
      </x:c>
      <x:c r="E13" s="31" t="n">
        <x:v>176.451</x:v>
      </x:c>
      <x:c r="F13" s="32" t="n">
        <x:f>IFERROR(E13/C13,"")</x:f>
        <x:v>0.7555202548501598</x:v>
      </x:c>
      <x:c r="G13" s="32" t="n">
        <x:v>178.284</x:v>
      </x:c>
      <x:c r="H13" s="32" t="n">
        <x:f>IFERROR(G13/C13,"")</x:f>
        <x:v>0.7633687149163558</x:v>
      </x:c>
      <x:c r="I13" s="33" t="n">
        <x:f>IF(OR(F13="",H13=""),"", (H13-F13)*10000)</x:f>
        <x:v>78.48460066195995</x:v>
      </x:c>
      <x:c r="J13" s="31" t="n">
        <x:v>94.779</x:v>
      </x:c>
      <x:c r="K13" s="31" t="n">
        <x:v>70.412</x:v>
      </x:c>
      <x:c r="L13" s="31" t="n">
        <x:v>21.146</x:v>
      </x:c>
      <x:c r="M13" s="31" t="n">
        <x:v>-9.886</x:v>
      </x:c>
      <x:c r="N13" s="32" t="n">
        <x:f>IFERROR(M13/C13,"")</x:f>
        <x:v>-0.042329446925484585</x:v>
      </x:c>
      <x:c r="O13" s="34" t="n">
        <x:v>1610</x:v>
      </x:c>
      <x:c r="P13" s="29" t="str">
        <x:v>No</x:v>
      </x:c>
      <x:c r="Q13" s="43" t="str">
        <x:v>SEC-XBRL</x:v>
      </x:c>
      <x:c r="R13" s="43" t="str">
        <x:v>ER-2021Q2</x:v>
      </x:c>
      <x:c r="S13" s="44" t="str">
        <x:v>https://www.sec.gov/Archives/edgar/data/1561550/000156155021000015/ex-991x20210630x8k.htm</x:v>
      </x:c>
    </x:row>
    <x:row r="14">
      <x:c r="A14" s="29" t="str">
        <x:v>2021Q3</x:v>
      </x:c>
      <x:c r="B14" s="30" t="n">
        <x:v>44469</x:v>
      </x:c>
      <x:c r="C14" s="31" t="n">
        <x:v>270.488</x:v>
      </x:c>
      <x:c r="D14" s="31" t="n">
        <x:v>63.332</x:v>
      </x:c>
      <x:c r="E14" s="31" t="n">
        <x:v>207.156</x:v>
      </x:c>
      <x:c r="F14" s="32" t="n">
        <x:f>IFERROR(E14/C14,"")</x:f>
        <x:v>0.7658602230043478</x:v>
      </x:c>
      <x:c r="G14" s="32" t="n">
        <x:v>209.956</x:v>
      </x:c>
      <x:c r="H14" s="32" t="n">
        <x:f>IFERROR(G14/C14,"")</x:f>
        <x:v>0.776211883706486</x:v>
      </x:c>
      <x:c r="I14" s="33" t="n">
        <x:f>IF(OR(F14="",H14=""),"", (H14-F14)*10000)</x:f>
        <x:v>103.51660702138221</x:v>
      </x:c>
      <x:c r="J14" s="31" t="n">
        <x:v>112.675</x:v>
      </x:c>
      <x:c r="K14" s="31" t="n">
        <x:v>75.827</x:v>
      </x:c>
      <x:c r="L14" s="31" t="n">
        <x:v>23.549</x:v>
      </x:c>
      <x:c r="M14" s="31" t="n">
        <x:v>-4.895</x:v>
      </x:c>
      <x:c r="N14" s="32" t="n">
        <x:f>IFERROR(M14/C14,"")</x:f>
        <x:v>-0.018096921120345447</x:v>
      </x:c>
      <x:c r="O14" s="34" t="n">
        <x:v>1800</x:v>
      </x:c>
      <x:c r="P14" s="29" t="str">
        <x:v>No</x:v>
      </x:c>
      <x:c r="Q14" s="43" t="str">
        <x:v>SEC-XBRL</x:v>
      </x:c>
      <x:c r="R14" s="43" t="str">
        <x:v>ER-2021Q3</x:v>
      </x:c>
      <x:c r="S14" s="44" t="str">
        <x:v>https://www.sec.gov/Archives/edgar/data/1561550/000156155021000024/ex-991x20210930x8k.htm</x:v>
      </x:c>
    </x:row>
    <x:row r="15">
      <x:c r="A15" s="29" t="str">
        <x:v>2021Q4</x:v>
      </x:c>
      <x:c r="B15" s="30" t="n">
        <x:v>44561</x:v>
      </x:c>
      <x:c r="C15" s="31" t="n">
        <x:v>326.1980000000001</x:v>
      </x:c>
      <x:c r="D15" s="31" t="n">
        <x:v>67.149</x:v>
      </x:c>
      <x:c r="E15" s="31" t="n">
        <x:v>259.049</x:v>
      </x:c>
      <x:c r="F15" s="32" t="n">
        <x:f>IFERROR(E15/C15,"")</x:f>
        <x:v>0.7941464999785404</x:v>
      </x:c>
      <x:c r="G15" s="32" t="n">
        <x:v>261.967</x:v>
      </x:c>
      <x:c r="H15" s="32" t="n">
        <x:f>IFERROR(G15/C15,"")</x:f>
        <x:v>0.8030919870753344</x:v>
      </x:c>
      <x:c r="I15" s="33" t="n">
        <x:f>IF(OR(F15="",H15=""),"", (H15-F15)*10000)</x:f>
        <x:v>89.45487096793991</x:v>
      </x:c>
      <x:c r="J15" s="31" t="n">
        <x:v>133.04899999999998</x:v>
      </x:c>
      <x:c r="K15" s="31" t="n">
        <x:v>88.90500000000003</x:v>
      </x:c>
      <x:c r="L15" s="31" t="n">
        <x:v>28.64</x:v>
      </x:c>
      <x:c r="M15" s="31" t="n">
        <x:v>8.454999999999998</x:v>
      </x:c>
      <x:c r="N15" s="32" t="n">
        <x:f>IFERROR(M15/C15,"")</x:f>
        <x:v>0.025919840097118917</x:v>
      </x:c>
      <x:c r="O15" s="34" t="n">
        <x:v>2010</x:v>
      </x:c>
      <x:c r="P15" s="29" t="str">
        <x:v>Yes</x:v>
      </x:c>
      <x:c r="Q15" s="43" t="str">
        <x:v>SEC-XBRL</x:v>
      </x:c>
      <x:c r="R15" s="43" t="str">
        <x:v>ER-2021Q4</x:v>
      </x:c>
      <x:c r="S15" s="44" t="str">
        <x:v>https://www.sec.gov/Archives/edgar/data/1561550/000156155022000004/ex-991x20211231x8k.htm</x:v>
      </x:c>
    </x:row>
    <x:row r="16">
      <x:c r="A16" s="29" t="str">
        <x:v>2022Q1</x:v>
      </x:c>
      <x:c r="B16" s="30" t="n">
        <x:v>44651</x:v>
      </x:c>
      <x:c r="C16" s="31" t="n">
        <x:v>363.03</x:v>
      </x:c>
      <x:c r="D16" s="31" t="n">
        <x:v>74.462</x:v>
      </x:c>
      <x:c r="E16" s="31" t="n">
        <x:v>288.568</x:v>
      </x:c>
      <x:c r="F16" s="32" t="n">
        <x:f>IFERROR(E16/C16,"")</x:f>
        <x:v>0.7948874748643363</x:v>
      </x:c>
      <x:c r="G16" s="32" t="n">
        <x:v>291.736</x:v>
      </x:c>
      <x:c r="H16" s="32" t="n">
        <x:f>IFERROR(G16/C16,"")</x:f>
        <x:v>0.8036140263890037</x:v>
      </x:c>
      <x:c r="I16" s="33" t="n">
        <x:f>IF(OR(F16="",H16=""),"", (H16-F16)*10000)</x:f>
        <x:v>87.26551524667391</x:v>
      </x:c>
      <x:c r="J16" s="31" t="n">
        <x:v>150.608</x:v>
      </x:c>
      <x:c r="K16" s="31" t="n">
        <x:v>101.166</x:v>
      </x:c>
      <x:c r="L16" s="31" t="n">
        <x:v>26.38</x:v>
      </x:c>
      <x:c r="M16" s="31" t="n">
        <x:v>10.414</x:v>
      </x:c>
      <x:c r="N16" s="32" t="n">
        <x:f>IFERROR(M16/C16,"")</x:f>
        <x:v>0.02868633446271658</x:v>
      </x:c>
      <x:c r="O16" s="34" t="n">
        <x:v>2250</x:v>
      </x:c>
      <x:c r="P16" s="29" t="str">
        <x:v>No</x:v>
      </x:c>
      <x:c r="Q16" s="43" t="str">
        <x:v>SEC-XBRL</x:v>
      </x:c>
      <x:c r="R16" s="43" t="str">
        <x:v>ER-2022Q1</x:v>
      </x:c>
      <x:c r="S16" s="44" t="str">
        <x:v>https://www.sec.gov/Archives/edgar/data/1561550/000156155022000023/ex-991x20220331x8k.htm</x:v>
      </x:c>
    </x:row>
    <x:row r="17">
      <x:c r="A17" s="29" t="str">
        <x:v>2022Q2</x:v>
      </x:c>
      <x:c r="B17" s="30" t="n">
        <x:v>44742</x:v>
      </x:c>
      <x:c r="C17" s="31" t="n">
        <x:v>406.138</x:v>
      </x:c>
      <x:c r="D17" s="31" t="n">
        <x:v>81.925</x:v>
      </x:c>
      <x:c r="E17" s="31" t="n">
        <x:v>324.213</x:v>
      </x:c>
      <x:c r="F17" s="32" t="n">
        <x:f>IFERROR(E17/C17,"")</x:f>
        <x:v>0.7982828496717865</x:v>
      </x:c>
      <x:c r="G17" s="32" t="n">
        <x:v>328.12</x:v>
      </x:c>
      <x:c r="H17" s="32" t="n">
        <x:f>IFERROR(G17/C17,"")</x:f>
        <x:v>0.8079027325687329</x:v>
      </x:c>
      <x:c r="I17" s="33" t="n">
        <x:f>IF(OR(F17="",H17=""),"", (H17-F17)*10000)</x:f>
        <x:v>96.19882896946375</x:v>
      </x:c>
      <x:c r="J17" s="31" t="n">
        <x:v>177.699</x:v>
      </x:c>
      <x:c r="K17" s="31" t="n">
        <x:v>115.27</x:v>
      </x:c>
      <x:c r="L17" s="31" t="n">
        <x:v>34.383</x:v>
      </x:c>
      <x:c r="M17" s="31" t="n">
        <x:v>-3.139</x:v>
      </x:c>
      <x:c r="N17" s="32" t="n">
        <x:f>IFERROR(M17/C17,"")</x:f>
        <x:v>-0.007728900029054164</x:v>
      </x:c>
      <x:c r="O17" s="34" t="n">
        <x:v>2420</x:v>
      </x:c>
      <x:c r="P17" s="29" t="str">
        <x:v>No</x:v>
      </x:c>
      <x:c r="Q17" s="43" t="str">
        <x:v>SEC-XBRL</x:v>
      </x:c>
      <x:c r="R17" s="43" t="str">
        <x:v>ER-2022Q2</x:v>
      </x:c>
      <x:c r="S17" s="44" t="str">
        <x:v>https://www.sec.gov/Archives/edgar/data/1561550/000156155022000033/ex-991x20220630x8k.htm</x:v>
      </x:c>
    </x:row>
    <x:row r="18">
      <x:c r="A18" s="29" t="str">
        <x:v>2022Q3</x:v>
      </x:c>
      <x:c r="B18" s="30" t="n">
        <x:v>44834</x:v>
      </x:c>
      <x:c r="C18" s="31" t="n">
        <x:v>436.533</x:v>
      </x:c>
      <x:c r="D18" s="31" t="n">
        <x:v>93.599</x:v>
      </x:c>
      <x:c r="E18" s="31" t="n">
        <x:v>342.934</x:v>
      </x:c>
      <x:c r="F18" s="32" t="n">
        <x:f>IFERROR(E18/C18,"")</x:f>
        <x:v>0.7855855112900972</x:v>
      </x:c>
      <x:c r="G18" s="32" t="n">
        <x:v>348.046</x:v>
      </x:c>
      <x:c r="H18" s="32" t="n">
        <x:f>IFERROR(G18/C18,"")</x:f>
        <x:v>0.7972959661697969</x:v>
      </x:c>
      <x:c r="I18" s="33" t="n">
        <x:f>IF(OR(F18="",H18=""),"", (H18-F18)*10000)</x:f>
        <x:v>117.10454879699684</x:v>
      </x:c>
      <x:c r="J18" s="31" t="n">
        <x:v>205.388</x:v>
      </x:c>
      <x:c r="K18" s="31" t="n">
        <x:v>129.493</x:v>
      </x:c>
      <x:c r="L18" s="31" t="n">
        <x:v>39.395</x:v>
      </x:c>
      <x:c r="M18" s="31" t="n">
        <x:v>-31.342</x:v>
      </x:c>
      <x:c r="N18" s="32" t="n">
        <x:f>IFERROR(M18/C18,"")</x:f>
        <x:v>-0.0717975502424788</x:v>
      </x:c>
      <x:c r="O18" s="34" t="n">
        <x:v>2600</x:v>
      </x:c>
      <x:c r="P18" s="29" t="str">
        <x:v>No</x:v>
      </x:c>
      <x:c r="Q18" s="43" t="str">
        <x:v>SEC-XBRL</x:v>
      </x:c>
      <x:c r="R18" s="43" t="str">
        <x:v>ER-2022Q3</x:v>
      </x:c>
      <x:c r="S18" s="44" t="str">
        <x:v>https://www.sec.gov/Archives/edgar/data/1561550/000156155022000043/ex-991x20220930x8k.htm</x:v>
      </x:c>
    </x:row>
    <x:row r="19">
      <x:c r="A19" s="29" t="str">
        <x:v>2022Q4</x:v>
      </x:c>
      <x:c r="B19" s="30" t="n">
        <x:v>44926</x:v>
      </x:c>
      <x:c r="C19" s="31" t="n">
        <x:v>469.3989999999999</x:v>
      </x:c>
      <x:c r="D19" s="31" t="n">
        <x:v>96.757</x:v>
      </x:c>
      <x:c r="E19" s="31" t="n">
        <x:v>372.64199999999994</x:v>
      </x:c>
      <x:c r="F19" s="32" t="n">
        <x:f>IFERROR(E19/C19,"")</x:f>
        <x:v>0.7938704598859393</x:v>
      </x:c>
      <x:c r="G19" s="32" t="n">
        <x:v>378.298</x:v>
      </x:c>
      <x:c r="H19" s="32" t="n">
        <x:f>IFERROR(G19/C19,"")</x:f>
        <x:v>0.8059199103534521</x:v>
      </x:c>
      <x:c r="I19" s="33" t="n">
        <x:f>IF(OR(F19="",H19=""),"", (H19-F19)*10000)</x:f>
        <x:v>120.49450467512824</x:v>
      </x:c>
      <x:c r="J19" s="31" t="n">
        <x:v>218.65599999999995</x:v>
      </x:c>
      <x:c r="K19" s="31" t="n">
        <x:v>149.35900000000004</x:v>
      </x:c>
      <x:c r="L19" s="31" t="n">
        <x:v>39.25500000000001</x:v>
      </x:c>
      <x:c r="M19" s="31" t="n">
        <x:v>-34.628</x:v>
      </x:c>
      <x:c r="N19" s="32" t="n">
        <x:f>IFERROR(M19/C19,"")</x:f>
        <x:v>-0.07377092835732502</x:v>
      </x:c>
      <x:c r="O19" s="34" t="n">
        <x:v>2780</x:v>
      </x:c>
      <x:c r="P19" s="29" t="str">
        <x:v>Yes</x:v>
      </x:c>
      <x:c r="Q19" s="43" t="str">
        <x:v>SEC-XBRL</x:v>
      </x:c>
      <x:c r="R19" s="43" t="str">
        <x:v>ER-2022Q4</x:v>
      </x:c>
      <x:c r="S19" s="44" t="str">
        <x:v>https://www.sec.gov/Archives/edgar/data/1561550/000156155023000003/ex-991x20221231x8k.htm</x:v>
      </x:c>
    </x:row>
    <x:row r="20">
      <x:c r="A20" s="29" t="str">
        <x:v>2023Q1</x:v>
      </x:c>
      <x:c r="B20" s="30" t="n">
        <x:v>45016</x:v>
      </x:c>
      <x:c r="C20" s="31" t="n">
        <x:v>481.714</x:v>
      </x:c>
      <x:c r="D20" s="31" t="n">
        <x:v>99.914</x:v>
      </x:c>
      <x:c r="E20" s="31" t="n">
        <x:v>381.8</x:v>
      </x:c>
      <x:c r="F20" s="32" t="n">
        <x:f>IFERROR(E20/C20,"")</x:f>
        <x:v>0.7925864724712174</x:v>
      </x:c>
      <x:c r="G20" s="32" t="n">
        <x:v>387.601</x:v>
      </x:c>
      <x:c r="H20" s="32" t="n">
        <x:f>IFERROR(G20/C20,"")</x:f>
        <x:v>0.8046288876802418</x:v>
      </x:c>
      <x:c r="I20" s="33" t="n">
        <x:f>IF(OR(F20="",H20=""),"", (H20-F20)*10000)</x:f>
        <x:v>120.42415209024382</x:v>
      </x:c>
      <x:c r="J20" s="31" t="n">
        <x:v>229.478</x:v>
      </x:c>
      <x:c r="K20" s="31" t="n">
        <x:v>144.971</x:v>
      </x:c>
      <x:c r="L20" s="31" t="n">
        <x:v>42.321</x:v>
      </x:c>
      <x:c r="M20" s="31" t="n">
        <x:v>-34.97</x:v>
      </x:c>
      <x:c r="N20" s="32" t="n">
        <x:f>IFERROR(M20/C20,"")</x:f>
        <x:v>-0.07259494222713062</x:v>
      </x:c>
      <x:c r="O20" s="34" t="n">
        <x:v>2910</x:v>
      </x:c>
      <x:c r="P20" s="29" t="str">
        <x:v>No</x:v>
      </x:c>
      <x:c r="Q20" s="43" t="str">
        <x:v>SEC-XBRL</x:v>
      </x:c>
      <x:c r="R20" s="43" t="str">
        <x:v>ER-2023Q1</x:v>
      </x:c>
      <x:c r="S20" s="44" t="str">
        <x:v>https://www.sec.gov/Archives/edgar/data/1561550/000156155023000020/ex-991x20230331x8k.htm</x:v>
      </x:c>
    </x:row>
    <x:row r="21">
      <x:c r="A21" s="29" t="str">
        <x:v>2023Q2</x:v>
      </x:c>
      <x:c r="B21" s="30" t="n">
        <x:v>45107</x:v>
      </x:c>
      <x:c r="C21" s="31" t="n">
        <x:v>509.46</x:v>
      </x:c>
      <x:c r="D21" s="31" t="n">
        <x:v>101.846</x:v>
      </x:c>
      <x:c r="E21" s="31" t="n">
        <x:v>407.614</x:v>
      </x:c>
      <x:c r="F21" s="32" t="n">
        <x:f>IFERROR(E21/C21,"")</x:f>
        <x:v>0.8000902916813881</x:v>
      </x:c>
      <x:c r="G21" s="32" t="n">
        <x:v>413.944</x:v>
      </x:c>
      <x:c r="H21" s="32" t="n">
        <x:f>IFERROR(G21/C21,"")</x:f>
        <x:v>0.8125152121854513</x:v>
      </x:c>
      <x:c r="I21" s="33" t="n">
        <x:f>IF(OR(F21="",H21=""),"", (H21-F21)*10000)</x:f>
        <x:v>124.24920504063186</x:v>
      </x:c>
      <x:c r="J21" s="31" t="n">
        <x:v>239.494</x:v>
      </x:c>
      <x:c r="K21" s="31" t="n">
        <x:v>147.455</x:v>
      </x:c>
      <x:c r="L21" s="31" t="n">
        <x:v>42.671</x:v>
      </x:c>
      <x:c r="M21" s="31" t="n">
        <x:v>-22.006</x:v>
      </x:c>
      <x:c r="N21" s="32" t="n">
        <x:f>IFERROR(M21/C21,"")</x:f>
        <x:v>-0.04319475523102893</x:v>
      </x:c>
      <x:c r="O21" s="34" t="n">
        <x:v>2990</x:v>
      </x:c>
      <x:c r="P21" s="29" t="str">
        <x:v>No</x:v>
      </x:c>
      <x:c r="Q21" s="43" t="str">
        <x:v>SEC-XBRL</x:v>
      </x:c>
      <x:c r="R21" s="43" t="str">
        <x:v>ER-2023Q2</x:v>
      </x:c>
      <x:c r="S21" s="44" t="str">
        <x:v>https://www.sec.gov/Archives/edgar/data/1561550/000156155023000035/ex-991x20230630x8k.htm</x:v>
      </x:c>
    </x:row>
    <x:row r="22">
      <x:c r="A22" s="29" t="str">
        <x:v>2023Q3</x:v>
      </x:c>
      <x:c r="B22" s="30" t="n">
        <x:v>45199</x:v>
      </x:c>
      <x:c r="C22" s="31" t="n">
        <x:v>547.536</x:v>
      </x:c>
      <x:c r="D22" s="31" t="n">
        <x:v>103.319</x:v>
      </x:c>
      <x:c r="E22" s="31" t="n">
        <x:v>444.217</x:v>
      </x:c>
      <x:c r="F22" s="32" t="n">
        <x:f>IFERROR(E22/C22,"")</x:f>
        <x:v>0.8113019052628504</x:v>
      </x:c>
      <x:c r="G22" s="32" t="n">
        <x:v>450.868</x:v>
      </x:c>
      <x:c r="H22" s="32" t="n">
        <x:f>IFERROR(G22/C22,"")</x:f>
        <x:v>0.8234490517518483</x:v>
      </x:c>
      <x:c r="I22" s="33" t="n">
        <x:f>IF(OR(F22="",H22=""),"", (H22-F22)*10000)</x:f>
        <x:v>121.4714648899795</x:v>
      </x:c>
      <x:c r="J22" s="31" t="n">
        <x:v>240.225</x:v>
      </x:c>
      <x:c r="K22" s="31" t="n">
        <x:v>156.87</x:v>
      </x:c>
      <x:c r="L22" s="31" t="n">
        <x:v>51.352</x:v>
      </x:c>
      <x:c r="M22" s="31" t="n">
        <x:v>-4.23</x:v>
      </x:c>
      <x:c r="N22" s="32" t="n">
        <x:f>IFERROR(M22/C22,"")</x:f>
        <x:v>-0.00772551941790129</x:v>
      </x:c>
      <x:c r="O22" s="34" t="n">
        <x:v>3130</x:v>
      </x:c>
      <x:c r="P22" s="29" t="str">
        <x:v>No</x:v>
      </x:c>
      <x:c r="Q22" s="43" t="str">
        <x:v>SEC-XBRL</x:v>
      </x:c>
      <x:c r="R22" s="43" t="str">
        <x:v>ER-2023Q3</x:v>
      </x:c>
      <x:c r="S22" s="44" t="str">
        <x:v>https://www.sec.gov/Archives/edgar/data/1561550/000156155023000053/ex-991x20230930x8k.htm</x:v>
      </x:c>
    </x:row>
    <x:row r="23">
      <x:c r="A23" s="29" t="str">
        <x:v>2023Q4</x:v>
      </x:c>
      <x:c r="B23" s="30" t="n">
        <x:v>45291</x:v>
      </x:c>
      <x:c r="C23" s="31" t="n">
        <x:v>589.6489999999999</x:v>
      </x:c>
      <x:c r="D23" s="31" t="n">
        <x:v>104.82900000000001</x:v>
      </x:c>
      <x:c r="E23" s="31" t="n">
        <x:v>484.82000000000016</x:v>
      </x:c>
      <x:c r="F23" s="32" t="n">
        <x:f>IFERROR(E23/C23,"")</x:f>
        <x:v>0.8222179635681571</x:v>
      </x:c>
      <x:c r="G23" s="32" t="n">
        <x:v>492.021</x:v>
      </x:c>
      <x:c r="H23" s="32" t="n">
        <x:f>IFERROR(G23/C23,"")</x:f>
        <x:v>0.8344303136272598</x:v>
      </x:c>
      <x:c r="I23" s="33" t="n">
        <x:f>IF(OR(F23="",H23=""),"", (H23-F23)*10000)</x:f>
        <x:v>122.12350059102705</x:v>
      </x:c>
      <x:c r="J23" s="31" t="n">
        <x:v>253.25</x:v>
      </x:c>
      <x:c r="K23" s="31" t="n">
        <x:v>159.9799999999999</x:v>
      </x:c>
      <x:c r="L23" s="31" t="n">
        <x:v>43.84800000000001</x:v>
      </x:c>
      <x:c r="M23" s="31" t="n">
        <x:v>27.742000000000004</x:v>
      </x:c>
      <x:c r="N23" s="32" t="n">
        <x:f>IFERROR(M23/C23,"")</x:f>
        <x:v>0.047048328751511506</x:v>
      </x:c>
      <x:c r="O23" s="34" t="n">
        <x:v>3190</x:v>
      </x:c>
      <x:c r="P23" s="29" t="str">
        <x:v>Yes</x:v>
      </x:c>
      <x:c r="Q23" s="43" t="str">
        <x:v>SEC-XBRL</x:v>
      </x:c>
      <x:c r="R23" s="43" t="str">
        <x:v>ER-2023Q4</x:v>
      </x:c>
      <x:c r="S23" s="44" t="str">
        <x:v>https://www.sec.gov/Archives/edgar/data/1561550/000156155024000004/ex-991x20231231x8k.htm</x:v>
      </x:c>
    </x:row>
    <x:row r="24">
      <x:c r="A24" s="29" t="str">
        <x:v>2024Q1</x:v>
      </x:c>
      <x:c r="B24" s="30" t="n">
        <x:v>45382</x:v>
      </x:c>
      <x:c r="C24" s="31" t="n">
        <x:v>611.253</x:v>
      </x:c>
      <x:c r="D24" s="31" t="n">
        <x:v>110.098</x:v>
      </x:c>
      <x:c r="E24" s="31" t="n">
        <x:v>501.155</x:v>
      </x:c>
      <x:c r="F24" s="32" t="n">
        <x:f>IFERROR(E24/C24,"")</x:f>
        <x:v>0.8198814566145277</x:v>
      </x:c>
      <x:c r="G24" s="32" t="n">
        <x:v>508.901</x:v>
      </x:c>
      <x:c r="H24" s="32" t="n">
        <x:f>IFERROR(G24/C24,"")</x:f>
        <x:v>0.8325537870570778</x:v>
      </x:c>
      <x:c r="I24" s="33" t="n">
        <x:f>IF(OR(F24="",H24=""),"", (H24-F24)*10000)</x:f>
        <x:v>126.72330442550117</x:v>
      </x:c>
      <x:c r="J24" s="31" t="n">
        <x:v>269.988</x:v>
      </x:c>
      <x:c r="K24" s="31" t="n">
        <x:v>173.881</x:v>
      </x:c>
      <x:c r="L24" s="31" t="n">
        <x:v>45.29</x:v>
      </x:c>
      <x:c r="M24" s="31" t="n">
        <x:v>11.996</x:v>
      </x:c>
      <x:c r="N24" s="32" t="n">
        <x:f>IFERROR(M24/C24,"")</x:f>
        <x:v>0.019625261552908533</x:v>
      </x:c>
      <x:c r="O24" s="34" t="n">
        <x:v>3340</x:v>
      </x:c>
      <x:c r="P24" s="29" t="str">
        <x:v>No</x:v>
      </x:c>
      <x:c r="Q24" s="43" t="str">
        <x:v>SEC-XBRL</x:v>
      </x:c>
      <x:c r="R24" s="43" t="str">
        <x:v>ER-2024Q1</x:v>
      </x:c>
      <x:c r="S24" s="44" t="str">
        <x:v>https://www.sec.gov/Archives/edgar/data/1561550/000156155024000048/ex-991x20240331x8k.htm</x:v>
      </x:c>
    </x:row>
    <x:row r="25">
      <x:c r="A25" s="29" t="str">
        <x:v>2024Q2</x:v>
      </x:c>
      <x:c r="B25" s="30" t="n">
        <x:v>45473</x:v>
      </x:c>
      <x:c r="C25" s="31" t="n">
        <x:v>645.279</x:v>
      </x:c>
      <x:c r="D25" s="31" t="n">
        <x:v>123.499</x:v>
      </x:c>
      <x:c r="E25" s="31" t="n">
        <x:v>521.78</x:v>
      </x:c>
      <x:c r="F25" s="32" t="n">
        <x:f>IFERROR(E25/C25,"")</x:f>
        <x:v>0.8086114688375106</x:v>
      </x:c>
      <x:c r="G25" s="32" t="n">
        <x:v>529.522</x:v>
      </x:c>
      <x:c r="H25" s="32" t="n">
        <x:f>IFERROR(G25/C25,"")</x:f>
        <x:v>0.8206093798186521</x:v>
      </x:c>
      <x:c r="I25" s="33" t="n">
        <x:f>IF(OR(F25="",H25=""),"", (H25-F25)*10000)</x:f>
        <x:v>119.97910981141557</x:v>
      </x:c>
      <x:c r="J25" s="31" t="n">
        <x:v>274.599</x:v>
      </x:c>
      <x:c r="K25" s="31" t="n">
        <x:v>187.005</x:v>
      </x:c>
      <x:c r="L25" s="31" t="n">
        <x:v>47.558</x:v>
      </x:c>
      <x:c r="M25" s="31" t="n">
        <x:v>12.618</x:v>
      </x:c>
      <x:c r="N25" s="32" t="n">
        <x:f>IFERROR(M25/C25,"")</x:f>
        <x:v>0.019554332312069662</x:v>
      </x:c>
      <x:c r="O25" s="34" t="n">
        <x:v>3390</x:v>
      </x:c>
      <x:c r="P25" s="29" t="str">
        <x:v>No</x:v>
      </x:c>
      <x:c r="Q25" s="43" t="str">
        <x:v>SEC-XBRL</x:v>
      </x:c>
      <x:c r="R25" s="43" t="str">
        <x:v>ER-2024Q2</x:v>
      </x:c>
      <x:c r="S25" s="44" t="str">
        <x:v>https://www.sec.gov/Archives/edgar/data/1561550/000156155024000109/ex-991x20240630x8k.htm</x:v>
      </x:c>
    </x:row>
    <x:row r="26">
      <x:c r="A26" s="29" t="str">
        <x:v>2024Q3</x:v>
      </x:c>
      <x:c r="B26" s="30" t="n">
        <x:v>45565</x:v>
      </x:c>
      <x:c r="C26" s="31" t="n">
        <x:v>690.016</x:v>
      </x:c>
      <x:c r="D26" s="31" t="n">
        <x:v>137.756</x:v>
      </x:c>
      <x:c r="E26" s="31" t="n">
        <x:v>552.26</x:v>
      </x:c>
      <x:c r="F26" s="32" t="n">
        <x:f>IFERROR(E26/C26,"")</x:f>
        <x:v>0.8003582525622595</x:v>
      </x:c>
      <x:c r="G26" s="32" t="n">
        <x:v>559.857</x:v>
      </x:c>
      <x:c r="H26" s="32" t="n">
        <x:f>IFERROR(G26/C26,"")</x:f>
        <x:v>0.8113681421880072</x:v>
      </x:c>
      <x:c r="I26" s="33" t="n">
        <x:f>IF(OR(F26="",H26=""),"", (H26-F26)*10000)</x:f>
        <x:v>110.09889625747782</x:v>
      </x:c>
      <x:c r="J26" s="31" t="n">
        <x:v>291.802</x:v>
      </x:c>
      <x:c r="K26" s="31" t="n">
        <x:v>187.772</x:v>
      </x:c>
      <x:c r="L26" s="31" t="n">
        <x:v>52.408</x:v>
      </x:c>
      <x:c r="M26" s="31" t="n">
        <x:v>20.278</x:v>
      </x:c>
      <x:c r="N26" s="32" t="n">
        <x:f>IFERROR(M26/C26,"")</x:f>
        <x:v>0.02938772434262394</x:v>
      </x:c>
      <x:c r="O26" s="34" t="n">
        <x:v>3490</x:v>
      </x:c>
      <x:c r="P26" s="29" t="str">
        <x:v>No</x:v>
      </x:c>
      <x:c r="Q26" s="43" t="str">
        <x:v>SEC-XBRL</x:v>
      </x:c>
      <x:c r="R26" s="43" t="str">
        <x:v>ER-2024Q3</x:v>
      </x:c>
      <x:c r="S26" s="44" t="str">
        <x:v>https://www.sec.gov/Archives/edgar/data/1561550/000156155024000171/ex-991x20240930x8k.htm</x:v>
      </x:c>
    </x:row>
    <x:row r="27">
      <x:c r="A27" s="29" t="str">
        <x:v>2024Q4</x:v>
      </x:c>
      <x:c r="B27" s="30" t="n">
        <x:v>45657</x:v>
      </x:c>
      <x:c r="C27" s="31" t="n">
        <x:v>737.7270000000001</x:v>
      </x:c>
      <x:c r="D27" s="31" t="n">
        <x:v>144.17799999999994</x:v>
      </x:c>
      <x:c r="E27" s="31" t="n">
        <x:v>593.5490000000002</x:v>
      </x:c>
      <x:c r="F27" s="32" t="n">
        <x:f>IFERROR(E27/C27,"")</x:f>
        <x:v>0.8045645611452477</x:v>
      </x:c>
      <x:c r="G27" s="32" t="n">
        <x:v>602.773</x:v>
      </x:c>
      <x:c r="H27" s="32" t="n">
        <x:f>IFERROR(G27/C27,"")</x:f>
        <x:v>0.8170678313251378</x:v>
      </x:c>
      <x:c r="I27" s="33" t="n">
        <x:f>IF(OR(F27="",H27=""),"", (H27-F27)*10000)</x:f>
        <x:v>125.03270179890168</x:v>
      </x:c>
      <x:c r="J27" s="31" t="n">
        <x:v>316.31399999999996</x:v>
      </x:c>
      <x:c r="K27" s="31" t="n">
        <x:v>207.947</x:v>
      </x:c>
      <x:c r="L27" s="31" t="n">
        <x:v>59.89599999999999</x:v>
      </x:c>
      <x:c r="M27" s="31" t="n">
        <x:v>9.392000000000003</x:v>
      </x:c>
      <x:c r="N27" s="32" t="n">
        <x:f>IFERROR(M27/C27,"")</x:f>
        <x:v>0.012730996696609995</x:v>
      </x:c>
      <x:c r="O27" s="34" t="n">
        <x:v>3610</x:v>
      </x:c>
      <x:c r="P27" s="29" t="str">
        <x:v>Yes</x:v>
      </x:c>
      <x:c r="Q27" s="43" t="str">
        <x:v>SEC-XBRL</x:v>
      </x:c>
      <x:c r="R27" s="43" t="str">
        <x:v>ER-2024Q4</x:v>
      </x:c>
      <x:c r="S27" s="44" t="str">
        <x:v>https://www.sec.gov/Archives/edgar/data/1561550/000156155025000017/ex-991x20241231x8k.htm</x:v>
      </x:c>
    </x:row>
    <x:row r="28">
      <x:c r="A28" s="29" t="str">
        <x:v>2025Q1</x:v>
      </x:c>
      <x:c r="B28" s="30" t="n">
        <x:v>45747</x:v>
      </x:c>
      <x:c r="C28" s="31" t="n">
        <x:v>761.553</x:v>
      </x:c>
      <x:c r="D28" s="31" t="n">
        <x:v>157.628</x:v>
      </x:c>
      <x:c r="E28" s="31" t="n">
        <x:v>603.925</x:v>
      </x:c>
      <x:c r="F28" s="32" t="n">
        <x:f>IFERROR(E28/C28,"")</x:f>
        <x:v>0.7930176888542229</x:v>
      </x:c>
      <x:c r="G28" s="32" t="n">
        <x:v>611.656</x:v>
      </x:c>
      <x:c r="H28" s="32" t="n">
        <x:f>IFERROR(G28/C28,"")</x:f>
        <x:v>0.8031693132323029</x:v>
      </x:c>
      <x:c r="I28" s="33" t="n">
        <x:f>IF(OR(F28="",H28=""),"", (H28-F28)*10000)</x:f>
        <x:v>101.51624378080038</x:v>
      </x:c>
      <x:c r="J28" s="31" t="n">
        <x:v>341.061</x:v>
      </x:c>
      <x:c r="K28" s="31" t="n">
        <x:v>214.291</x:v>
      </x:c>
      <x:c r="L28" s="31" t="n">
        <x:v>60.993</x:v>
      </x:c>
      <x:c r="M28" s="31" t="n">
        <x:v>-12.42</x:v>
      </x:c>
      <x:c r="N28" s="32" t="n">
        <x:f>IFERROR(M28/C28,"")</x:f>
        <x:v>-0.01630877955966295</x:v>
      </x:c>
      <x:c r="O28" s="34" t="n">
        <x:v>3770</x:v>
      </x:c>
      <x:c r="P28" s="29" t="str">
        <x:v>No</x:v>
      </x:c>
      <x:c r="Q28" s="43" t="str">
        <x:v>SEC-XBRL</x:v>
      </x:c>
      <x:c r="R28" s="43" t="str">
        <x:v>ER-2025Q1</x:v>
      </x:c>
      <x:c r="S28" s="44" t="str">
        <x:v>https://www.sec.gov/Archives/edgar/data/1561550/000156155025000118/ex-991x20250331x8k.htm</x:v>
      </x:c>
    </x:row>
    <x:row r="29">
      <x:c r="A29" s="29" t="str">
        <x:v>2025Q2</x:v>
      </x:c>
      <x:c r="B29" s="30" t="n">
        <x:v>45838</x:v>
      </x:c>
      <x:c r="C29" s="31" t="n">
        <x:v>826.76</x:v>
      </x:c>
      <x:c r="D29" s="31" t="n">
        <x:v>165.978</x:v>
      </x:c>
      <x:c r="E29" s="31" t="n">
        <x:v>660.782</x:v>
      </x:c>
      <x:c r="F29" s="32" t="n">
        <x:f>IFERROR(E29/C29,"")</x:f>
        <x:v>0.7992428274227104</x:v>
      </x:c>
      <x:c r="G29" s="32" t="n">
        <x:v>669.248</x:v>
      </x:c>
      <x:c r="H29" s="32" t="n">
        <x:f>IFERROR(G29/C29,"")</x:f>
        <x:v>0.8094828003289952</x:v>
      </x:c>
      <x:c r="I29" s="33" t="n">
        <x:f>IF(OR(F29="",H29=""),"", (H29-F29)*10000)</x:f>
        <x:v>102.39972906284866</x:v>
      </x:c>
      <x:c r="J29" s="31" t="n">
        <x:v>387.482</x:v>
      </x:c>
      <x:c r="K29" s="31" t="n">
        <x:v>239.026</x:v>
      </x:c>
      <x:c r="L29" s="31" t="n">
        <x:v>69.774</x:v>
      </x:c>
      <x:c r="M29" s="31" t="n">
        <x:v>-35.5</x:v>
      </x:c>
      <x:c r="N29" s="32" t="n">
        <x:f>IFERROR(M29/C29,"")</x:f>
        <x:v>-0.04293870046930185</x:v>
      </x:c>
      <x:c r="O29" s="34" t="n">
        <x:v>3850</x:v>
      </x:c>
      <x:c r="P29" s="29" t="str">
        <x:v>No</x:v>
      </x:c>
      <x:c r="Q29" s="43" t="str">
        <x:v>SEC-XBRL</x:v>
      </x:c>
      <x:c r="R29" s="43" t="str">
        <x:v>ER-2025Q2</x:v>
      </x:c>
      <x:c r="S29" s="44" t="str">
        <x:v>https://www.sec.gov/Archives/edgar/data/1561550/000156155025000216/ex-991x20250630x8k.htm</x:v>
      </x:c>
    </x:row>
    <x:row r="30">
      <x:c r="A30" s="29" t="str">
        <x:v>2025Q3</x:v>
      </x:c>
      <x:c r="B30" s="30" t="n">
        <x:v>45930</x:v>
      </x:c>
      <x:c r="C30" s="31" t="n">
        <x:v>885.651</x:v>
      </x:c>
      <x:c r="D30" s="31" t="n">
        <x:v>176.457</x:v>
      </x:c>
      <x:c r="E30" s="31" t="n">
        <x:v>709.194</x:v>
      </x:c>
      <x:c r="F30" s="32" t="n">
        <x:f>IFERROR(E30/C30,"")</x:f>
        <x:v>0.8007601188278453</x:v>
      </x:c>
      <x:c r="G30" s="32" t="n">
        <x:v>718.852</x:v>
      </x:c>
      <x:c r="H30" s="32" t="n">
        <x:f>IFERROR(G30/C30,"")</x:f>
        <x:v>0.8116650915541224</x:v>
      </x:c>
      <x:c r="I30" s="33" t="n">
        <x:f>IF(OR(F30="",H30=""),"", (H30-F30)*10000)</x:f>
        <x:v>109.04972726277107</x:v>
      </x:c>
      <x:c r="J30" s="31" t="n">
        <x:v>401.982</x:v>
      </x:c>
      <x:c r="K30" s="31" t="n">
        <x:v>238.729</x:v>
      </x:c>
      <x:c r="L30" s="31" t="n">
        <x:v>74.292</x:v>
      </x:c>
      <x:c r="M30" s="31" t="n">
        <x:v>-5.809</x:v>
      </x:c>
      <x:c r="N30" s="32" t="n">
        <x:f>IFERROR(M30/C30,"")</x:f>
        <x:v>-0.006559017039443303</x:v>
      </x:c>
      <x:c r="O30" s="34" t="n">
        <x:v>4060</x:v>
      </x:c>
      <x:c r="P30" s="29" t="str">
        <x:v>No</x:v>
      </x:c>
      <x:c r="Q30" s="43" t="str">
        <x:v>SEC-XBRL</x:v>
      </x:c>
      <x:c r="R30" s="43" t="str">
        <x:v>ER-2025Q3</x:v>
      </x:c>
      <x:c r="S30" s="44" t="str">
        <x:v>https://www.sec.gov/Archives/edgar/data/1561550/000156155025000310/ex-991x20250930x8k.htm</x:v>
      </x:c>
    </x:row>
    <x:row r="31">
      <x:c r="A31" s="29" t="str">
        <x:v>2025Q4</x:v>
      </x:c>
      <x:c r="B31" s="30" t="n">
        <x:v>46022</x:v>
      </x:c>
      <x:c r="C31" s="31" t="n">
        <x:v>953.194</x:v>
      </x:c>
      <x:c r="D31" s="31" t="n">
        <x:v>186.894</x:v>
      </x:c>
      <x:c r="E31" s="31" t="n">
        <x:v>766.3000000000002</x:v>
      </x:c>
      <x:c r="F31" s="32" t="n">
        <x:f>IFERROR(E31/C31,"")</x:f>
        <x:v>0.8039286860806931</x:v>
      </x:c>
      <x:c r="G31" s="32" t="n">
        <x:v>776.297</x:v>
      </x:c>
      <x:c r="H31" s="32" t="n">
        <x:f>IFERROR(G31/C31,"")</x:f>
        <x:v>0.8144165825634656</x:v>
      </x:c>
      <x:c r="I31" s="33" t="n">
        <x:f>IF(OR(F31="",H31=""),"", (H31-F31)*10000)</x:f>
        <x:v>104.87896482772486</x:v>
      </x:c>
      <x:c r="J31" s="31" t="n">
        <x:v>417.92599999999993</x:v>
      </x:c>
      <x:c r="K31" s="31" t="n">
        <x:v>264.37699999999995</x:v>
      </x:c>
      <x:c r="L31" s="31" t="n">
        <x:v>74.64099999999999</x:v>
      </x:c>
      <x:c r="M31" s="31" t="n">
        <x:v>9.356000000000002</x:v>
      </x:c>
      <x:c r="N31" s="32" t="n">
        <x:f>IFERROR(M31/C31,"")</x:f>
        <x:v>0.009815420575454736</x:v>
      </x:c>
      <x:c r="O31" s="34" t="n">
        <x:v>4310</x:v>
      </x:c>
      <x:c r="P31" s="29" t="str">
        <x:v>Yes</x:v>
      </x:c>
      <x:c r="Q31" s="43" t="str">
        <x:v>SEC-XBRL</x:v>
      </x:c>
      <x:c r="R31" s="43" t="str">
        <x:v>ER-2025Q4</x:v>
      </x:c>
      <x:c r="S31" s="44" t="str">
        <x:v>https://www.sec.gov/Archives/edgar/data/1561550/000162828026006645/ex-991x20251231x8k.htm</x:v>
      </x:c>
    </x:row>
    <x:row r="32">
      <x:c r="A32" s="36" t="str">
        <x:v>2026Q1</x:v>
      </x:c>
      <x:c r="B32" s="37" t="n">
        <x:v>46112</x:v>
      </x:c>
      <x:c r="C32" s="38" t="n">
        <x:v>1006.426</x:v>
      </x:c>
      <x:c r="D32" s="38" t="n">
        <x:v>209.228</x:v>
      </x:c>
      <x:c r="E32" s="38" t="n">
        <x:v>797.198</x:v>
      </x:c>
      <x:c r="F32" s="39" t="n">
        <x:f>IFERROR(E32/C32,"")</x:f>
        <x:v>0.7921079145411585</x:v>
      </x:c>
      <x:c r="G32" s="39" t="n">
        <x:v>807.226</x:v>
      </x:c>
      <x:c r="H32" s="39" t="n">
        <x:f>IFERROR(G32/C32,"")</x:f>
        <x:v>0.8020718860601773</x:v>
      </x:c>
      <x:c r="I32" s="40" t="n">
        <x:f>IF(OR(F32="",H32=""),"", (H32-F32)*10000)</x:f>
        <x:v>99.63971519018844</x:v>
      </x:c>
      <x:c r="J32" s="38" t="n">
        <x:v>435.298</x:v>
      </x:c>
      <x:c r="K32" s="38" t="n">
        <x:v>279.823</x:v>
      </x:c>
      <x:c r="L32" s="38" t="n">
        <x:v>74.75</x:v>
      </x:c>
      <x:c r="M32" s="38" t="n">
        <x:v>7.327</x:v>
      </x:c>
      <x:c r="N32" s="39" t="n">
        <x:f>IFERROR(M32/C32,"")</x:f>
        <x:v>0.007280217323479322</x:v>
      </x:c>
      <x:c r="O32" s="41" t="n">
        <x:v>4550</x:v>
      </x:c>
      <x:c r="P32" s="36" t="str">
        <x:v>No</x:v>
      </x:c>
      <x:c r="Q32" s="45" t="str">
        <x:v>SEC-XBRL</x:v>
      </x:c>
      <x:c r="R32" s="45" t="str">
        <x:v>ER-2026Q1</x:v>
      </x:c>
      <x:c r="S32" s="46" t="str">
        <x:v>https://www.sec.gov/Archives/edgar/data/1561550/000162828026031677/ex-991x20260331x8k.htm</x:v>
      </x:c>
    </x:row>
  </x:sheetData>
  <x:mergeCells>
    <x:mergeCell ref="A1:S2"/>
    <x:mergeCell ref="A3:S3"/>
  </x:mergeCells>
  <x:pageMargins left="0.7" right="0.7" top="0.75" bottom="0.75" header="0.3" footer="0.3"/>
  <x:tableParts count="1">
    <x:tablePart xmlns:r="http://schemas.openxmlformats.org/officeDocument/2006/relationships" r:id="Re86d60bacc0045e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9.779999732971191" hidden="0" customWidth="1"/>
    <x:col min="4" max="4" width="10.670000076293945" hidden="0" customWidth="1"/>
    <x:col min="5" max="5" width="9.779999732971191" hidden="0" customWidth="1"/>
    <x:col min="6" max="6" width="10.220000267028809" hidden="0" customWidth="1"/>
    <x:col min="7" max="7" width="10" hidden="0" customWidth="1"/>
    <x:col min="8" max="8" width="9.779999732971191" hidden="0" customWidth="1"/>
    <x:col min="9" max="9" width="9.4399995803833" hidden="0" customWidth="1"/>
    <x:col min="10" max="10" width="10.670000076293945" hidden="0" customWidth="1"/>
    <x:col min="11" max="11" width="8.4399995803833" hidden="0" customWidth="1"/>
    <x:col min="12" max="12" width="10.220000267028809" hidden="0" customWidth="1"/>
    <x:col min="13" max="13" width="9.779999732971191" hidden="0" customWidth="1"/>
    <x:col min="14" max="14" width="10" hidden="0" customWidth="1"/>
  </x:cols>
  <x:sheetData>
    <x:row r="1" ht="28" customHeight="1">
      <x:c r="A1" s="126" t="str">
        <x:v>Datadog — annual financial history</x:v>
      </x:c>
      <x:c r="B1" s="3"/>
      <x:c r="C1" s="3"/>
      <x:c r="D1" s="3"/>
      <x:c r="E1" s="3"/>
      <x:c r="F1" s="3"/>
      <x:c r="G1" s="3"/>
      <x:c r="H1" s="3"/>
      <x:c r="I1" s="3"/>
      <x:c r="J1" s="3"/>
      <x:c r="K1" s="3"/>
      <x:c r="L1" s="3"/>
      <x:c r="M1" s="3"/>
      <x:c r="N1" s="3"/>
      <x:c r="Z1" t="str">
        <x:v>Period</x:v>
      </x:c>
      <x:c r="AA1" t="str">
        <x:v>GAAP gross margin</x:v>
      </x:c>
    </x:row>
    <x:row r="2" ht="28" customHeight="1">
      <x:c r="A2" s="3"/>
      <x:c r="B2" s="3"/>
      <x:c r="C2" s="3"/>
      <x:c r="D2" s="3"/>
      <x:c r="E2" s="3"/>
      <x:c r="F2" s="3"/>
      <x:c r="G2" s="3"/>
      <x:c r="H2" s="3"/>
      <x:c r="I2" s="3"/>
      <x:c r="J2" s="3"/>
      <x:c r="K2" s="3"/>
      <x:c r="L2" s="3"/>
      <x:c r="M2" s="3"/>
      <x:c r="N2" s="3"/>
      <x:c r="Z2" t="str">
        <x:f>A6</x:f>
        <x:v>FY2018</x:v>
      </x:c>
      <x:c r="AA2" t="n">
        <x:f>F6</x:f>
        <x:v>0.7650964019043099</x:v>
      </x:c>
    </x:row>
    <x:row r="3" ht="30" customHeight="1">
      <x:c r="A3" s="127" t="str">
        <x:v>USD millions. Gross profit and margins are formula-backed. Source URLs resolve to filed Forms 10-K.</x:v>
      </x:c>
      <x:c r="B3" s="7"/>
      <x:c r="C3" s="7"/>
      <x:c r="D3" s="7"/>
      <x:c r="E3" s="7"/>
      <x:c r="F3" s="7"/>
      <x:c r="G3" s="7"/>
      <x:c r="H3" s="7"/>
      <x:c r="I3" s="7"/>
      <x:c r="J3" s="7"/>
      <x:c r="K3" s="7"/>
      <x:c r="L3" s="7"/>
      <x:c r="M3" s="7"/>
      <x:c r="N3" s="7"/>
      <x:c r="Z3" t="str">
        <x:f>A7</x:f>
        <x:v>FY2019</x:v>
      </x:c>
      <x:c r="AA3" t="n">
        <x:f>F7</x:f>
        <x:v>0.754812834224599</x:v>
      </x:c>
    </x:row>
    <x:row r="4">
      <x:c r="Z4" t="str">
        <x:f>A8</x:f>
        <x:v>FY2020</x:v>
      </x:c>
      <x:c r="AA4" t="n">
        <x:f>F8</x:f>
        <x:v>0.7842513082758598</x:v>
      </x:c>
    </x:row>
    <x:row r="5">
      <x:c r="A5" s="12" t="str">
        <x:v>Period</x:v>
      </x:c>
      <x:c r="B5" s="12" t="str">
        <x:v>Year end</x:v>
      </x:c>
      <x:c r="C5" s="12" t="str">
        <x:v>Revenue</x:v>
      </x:c>
      <x:c r="D5" s="12" t="str">
        <x:v>Cost of revenue</x:v>
      </x:c>
      <x:c r="E5" s="12" t="str">
        <x:v>Gross profit</x:v>
      </x:c>
      <x:c r="F5" s="12" t="str">
        <x:v>GAAP gross margin</x:v>
      </x:c>
      <x:c r="G5" s="12" t="str">
        <x:v>YoY revenue growth</x:v>
      </x:c>
      <x:c r="H5" s="12" t="str">
        <x:v>YoY COGS growth</x:v>
      </x:c>
      <x:c r="I5" s="12" t="str">
        <x:v>R&amp;D</x:v>
      </x:c>
      <x:c r="J5" s="12" t="str">
        <x:v>Sales &amp; marketing</x:v>
      </x:c>
      <x:c r="K5" s="12" t="str">
        <x:v>G&amp;A</x:v>
      </x:c>
      <x:c r="L5" s="12" t="str">
        <x:v>Operating income</x:v>
      </x:c>
      <x:c r="M5" s="12" t="str">
        <x:v>Operating margin</x:v>
      </x:c>
      <x:c r="N5" s="12" t="str">
        <x:v>Source ID</x:v>
      </x:c>
      <x:c r="Z5" t="str">
        <x:f>A9</x:f>
        <x:v>FY2021</x:v>
      </x:c>
      <x:c r="AA5" t="n">
        <x:f>F9</x:f>
        <x:v>0.7723088617241325</x:v>
      </x:c>
    </x:row>
    <x:row r="6">
      <x:c r="A6" s="15" t="str">
        <x:v>FY2018</x:v>
      </x:c>
      <x:c r="B6" s="17" t="n">
        <x:v>43465</x:v>
      </x:c>
      <x:c r="C6" s="19" t="n">
        <x:v>198.077</x:v>
      </x:c>
      <x:c r="D6" s="19" t="n">
        <x:v>46.529</x:v>
      </x:c>
      <x:c r="E6" s="19" t="n">
        <x:v>151.548</x:v>
      </x:c>
      <x:c r="F6" s="21" t="n">
        <x:f>IFERROR(E6/C6,"")</x:f>
        <x:v>0.7650964019043099</x:v>
      </x:c>
      <x:c r="G6" s="21"/>
      <x:c r="H6" s="21"/>
      <x:c r="I6" s="19" t="n">
        <x:v>55.176</x:v>
      </x:c>
      <x:c r="J6" s="19" t="n">
        <x:v>88.849</x:v>
      </x:c>
      <x:c r="K6" s="19" t="n">
        <x:v>18.556</x:v>
      </x:c>
      <x:c r="L6" s="19" t="n">
        <x:v>-11.033</x:v>
      </x:c>
      <x:c r="M6" s="21" t="n">
        <x:f>IFERROR(L6/C6,"")</x:f>
        <x:v>-0.055700560892986056</x:v>
      </x:c>
      <x:c r="N6" s="15" t="str">
        <x:v>10K-2018</x:v>
      </x:c>
      <x:c r="Z6" t="str">
        <x:f>A10</x:f>
        <x:v>FY2022</x:v>
      </x:c>
      <x:c r="AA6" t="n">
        <x:f>F10</x:f>
        <x:v>0.793001611844069</x:v>
      </x:c>
    </x:row>
    <x:row r="7">
      <x:c r="A7" s="15" t="str">
        <x:v>FY2019</x:v>
      </x:c>
      <x:c r="B7" s="17" t="n">
        <x:v>43830</x:v>
      </x:c>
      <x:c r="C7" s="19" t="n">
        <x:v>362.78</x:v>
      </x:c>
      <x:c r="D7" s="19" t="n">
        <x:v>88.949</x:v>
      </x:c>
      <x:c r="E7" s="19" t="n">
        <x:v>273.831</x:v>
      </x:c>
      <x:c r="F7" s="21" t="n">
        <x:f>IFERROR(E7/C7,"")</x:f>
        <x:v>0.754812834224599</x:v>
      </x:c>
      <x:c r="G7" s="21" t="n">
        <x:f>IFERROR(C7/C6-1,"")</x:f>
        <x:v>0.8315099683456433</x:v>
      </x:c>
      <x:c r="H7" s="21" t="n">
        <x:f>IFERROR(D7/D6-1,"")</x:f>
        <x:v>0.9116894839777341</x:v>
      </x:c>
      <x:c r="I7" s="19" t="n">
        <x:v>111.425</x:v>
      </x:c>
      <x:c r="J7" s="19" t="n">
        <x:v>146.657</x:v>
      </x:c>
      <x:c r="K7" s="19" t="n">
        <x:v>35.889</x:v>
      </x:c>
      <x:c r="L7" s="19" t="n">
        <x:v>-20.14</x:v>
      </x:c>
      <x:c r="M7" s="21" t="n">
        <x:f>IFERROR(L7/C7,"")</x:f>
        <x:v>-0.05551573956667954</x:v>
      </x:c>
      <x:c r="N7" s="15" t="str">
        <x:v>10K-2019</x:v>
      </x:c>
      <x:c r="Z7" t="str">
        <x:f>A11</x:f>
        <x:v>FY2023</x:v>
      </x:c>
      <x:c r="AA7" t="n">
        <x:f>F11</x:f>
        <x:v>0.8074065512444094</x:v>
      </x:c>
    </x:row>
    <x:row r="8">
      <x:c r="A8" s="15" t="str">
        <x:v>FY2020</x:v>
      </x:c>
      <x:c r="B8" s="17" t="n">
        <x:v>44196</x:v>
      </x:c>
      <x:c r="C8" s="19" t="n">
        <x:v>603.466</x:v>
      </x:c>
      <x:c r="D8" s="19" t="n">
        <x:v>130.197</x:v>
      </x:c>
      <x:c r="E8" s="19" t="n">
        <x:v>473.269</x:v>
      </x:c>
      <x:c r="F8" s="21" t="n">
        <x:f>IFERROR(E8/C8,"")</x:f>
        <x:v>0.7842513082758598</x:v>
      </x:c>
      <x:c r="G8" s="21" t="n">
        <x:f>IFERROR(C8/C7-1,"")</x:f>
        <x:v>0.663448922211809</x:v>
      </x:c>
      <x:c r="H8" s="21" t="n">
        <x:f>IFERROR(D8/D7-1,"")</x:f>
        <x:v>0.4637264050186063</x:v>
      </x:c>
      <x:c r="I8" s="19" t="n">
        <x:v>210.626</x:v>
      </x:c>
      <x:c r="J8" s="19" t="n">
        <x:v>213.66</x:v>
      </x:c>
      <x:c r="K8" s="19" t="n">
        <x:v>62.756</x:v>
      </x:c>
      <x:c r="L8" s="19" t="n">
        <x:v>-13.773</x:v>
      </x:c>
      <x:c r="M8" s="21" t="n">
        <x:f>IFERROR(L8/C8,"")</x:f>
        <x:v>-0.022823158222667058</x:v>
      </x:c>
      <x:c r="N8" s="15" t="str">
        <x:v>10K-2020</x:v>
      </x:c>
      <x:c r="Z8" t="str">
        <x:f>A12</x:f>
        <x:v>FY2024</x:v>
      </x:c>
      <x:c r="AA8" t="n">
        <x:f>F12</x:f>
        <x:v>0.8079440444812845</x:v>
      </x:c>
    </x:row>
    <x:row r="9">
      <x:c r="A9" s="15" t="str">
        <x:v>FY2021</x:v>
      </x:c>
      <x:c r="B9" s="17" t="n">
        <x:v>44561</x:v>
      </x:c>
      <x:c r="C9" s="19" t="n">
        <x:v>1028.784</x:v>
      </x:c>
      <x:c r="D9" s="19" t="n">
        <x:v>234.245</x:v>
      </x:c>
      <x:c r="E9" s="19" t="n">
        <x:v>794.539</x:v>
      </x:c>
      <x:c r="F9" s="21" t="n">
        <x:f>IFERROR(E9/C9,"")</x:f>
        <x:v>0.7723088617241325</x:v>
      </x:c>
      <x:c r="G9" s="21" t="n">
        <x:f>IFERROR(C9/C8-1,"")</x:f>
        <x:v>0.7047919849668416</x:v>
      </x:c>
      <x:c r="H9" s="21" t="n">
        <x:f>IFERROR(D9/D8-1,"")</x:f>
        <x:v>0.7991581987296175</x:v>
      </x:c>
      <x:c r="I9" s="19" t="n">
        <x:v>419.769</x:v>
      </x:c>
      <x:c r="J9" s="19" t="n">
        <x:v>299.497</x:v>
      </x:c>
      <x:c r="K9" s="19" t="n">
        <x:v>94.429</x:v>
      </x:c>
      <x:c r="L9" s="19" t="n">
        <x:v>-19.156</x:v>
      </x:c>
      <x:c r="M9" s="21" t="n">
        <x:f>IFERROR(L9/C9,"")</x:f>
        <x:v>-0.018620040747134477</x:v>
      </x:c>
      <x:c r="N9" s="15" t="str">
        <x:v>10K-2021</x:v>
      </x:c>
      <x:c r="Z9" t="str">
        <x:f>A13</x:f>
        <x:v>FY2025</x:v>
      </x:c>
      <x:c r="AA9" t="n">
        <x:f>F13</x:f>
        <x:v>0.7995549081775629</x:v>
      </x:c>
    </x:row>
    <x:row r="10">
      <x:c r="A10" s="15" t="str">
        <x:v>FY2022</x:v>
      </x:c>
      <x:c r="B10" s="17" t="n">
        <x:v>44926</x:v>
      </x:c>
      <x:c r="C10" s="19" t="n">
        <x:v>1675.1</x:v>
      </x:c>
      <x:c r="D10" s="19" t="n">
        <x:v>346.743</x:v>
      </x:c>
      <x:c r="E10" s="19" t="n">
        <x:v>1328.357</x:v>
      </x:c>
      <x:c r="F10" s="21" t="n">
        <x:f>IFERROR(E10/C10,"")</x:f>
        <x:v>0.793001611844069</x:v>
      </x:c>
      <x:c r="G10" s="21" t="n">
        <x:f>IFERROR(C10/C9-1,"")</x:f>
        <x:v>0.6282329429695639</x:v>
      </x:c>
      <x:c r="H10" s="21" t="n">
        <x:f>IFERROR(D10/D9-1,"")</x:f>
        <x:v>0.4802578496872931</x:v>
      </x:c>
      <x:c r="I10" s="19" t="n">
        <x:v>752.351</x:v>
      </x:c>
      <x:c r="J10" s="19" t="n">
        <x:v>495.288</x:v>
      </x:c>
      <x:c r="K10" s="19" t="n">
        <x:v>139.413</x:v>
      </x:c>
      <x:c r="L10" s="19" t="n">
        <x:v>-58.695</x:v>
      </x:c>
      <x:c r="M10" s="21" t="n">
        <x:f>IFERROR(L10/C10,"")</x:f>
        <x:v>-0.035039699122440454</x:v>
      </x:c>
      <x:c r="N10" s="15" t="str">
        <x:v>10K-2022</x:v>
      </x:c>
    </x:row>
    <x:row r="11">
      <x:c r="A11" s="15" t="str">
        <x:v>FY2023</x:v>
      </x:c>
      <x:c r="B11" s="17" t="n">
        <x:v>45291</x:v>
      </x:c>
      <x:c r="C11" s="19" t="n">
        <x:v>2128.359</x:v>
      </x:c>
      <x:c r="D11" s="19" t="n">
        <x:v>409.908</x:v>
      </x:c>
      <x:c r="E11" s="19" t="n">
        <x:v>1718.451</x:v>
      </x:c>
      <x:c r="F11" s="21" t="n">
        <x:f>IFERROR(E11/C11,"")</x:f>
        <x:v>0.8074065512444094</x:v>
      </x:c>
      <x:c r="G11" s="21" t="n">
        <x:f>IFERROR(C11/C10-1,"")</x:f>
        <x:v>0.2705862336576921</x:v>
      </x:c>
      <x:c r="H11" s="21" t="n">
        <x:f>IFERROR(D11/D10-1,"")</x:f>
        <x:v>0.18216661908099097</x:v>
      </x:c>
      <x:c r="I11" s="19" t="n">
        <x:v>962.447</x:v>
      </x:c>
      <x:c r="J11" s="19" t="n">
        <x:v>609.276</x:v>
      </x:c>
      <x:c r="K11" s="19" t="n">
        <x:v>180.192</x:v>
      </x:c>
      <x:c r="L11" s="19" t="n">
        <x:v>-33.464</x:v>
      </x:c>
      <x:c r="M11" s="21" t="n">
        <x:f>IFERROR(L11/C11,"")</x:f>
        <x:v>-0.015722911407333066</x:v>
      </x:c>
      <x:c r="N11" s="15" t="str">
        <x:v>10K-2023</x:v>
      </x:c>
    </x:row>
    <x:row r="12">
      <x:c r="A12" s="15" t="str">
        <x:v>FY2024</x:v>
      </x:c>
      <x:c r="B12" s="17" t="n">
        <x:v>45657</x:v>
      </x:c>
      <x:c r="C12" s="19" t="n">
        <x:v>2684.275</x:v>
      </x:c>
      <x:c r="D12" s="19" t="n">
        <x:v>515.531</x:v>
      </x:c>
      <x:c r="E12" s="19" t="n">
        <x:v>2168.744</x:v>
      </x:c>
      <x:c r="F12" s="21" t="n">
        <x:f>IFERROR(E12/C12,"")</x:f>
        <x:v>0.8079440444812845</x:v>
      </x:c>
      <x:c r="G12" s="21" t="n">
        <x:f>IFERROR(C12/C11-1,"")</x:f>
        <x:v>0.2611946574802466</x:v>
      </x:c>
      <x:c r="H12" s="21" t="n">
        <x:f>IFERROR(D12/D11-1,"")</x:f>
        <x:v>0.25767489290279744</x:v>
      </x:c>
      <x:c r="I12" s="19" t="n">
        <x:v>1152.703</x:v>
      </x:c>
      <x:c r="J12" s="19" t="n">
        <x:v>756.605</x:v>
      </x:c>
      <x:c r="K12" s="19" t="n">
        <x:v>205.152</x:v>
      </x:c>
      <x:c r="L12" s="19" t="n">
        <x:v>54.284</x:v>
      </x:c>
      <x:c r="M12" s="21" t="n">
        <x:f>IFERROR(L12/C12,"")</x:f>
        <x:v>0.020222965232697843</x:v>
      </x:c>
      <x:c r="N12" s="15" t="str">
        <x:v>10K-2024</x:v>
      </x:c>
    </x:row>
    <x:row r="13">
      <x:c r="A13" s="16" t="str">
        <x:v>FY2025</x:v>
      </x:c>
      <x:c r="B13" s="18" t="n">
        <x:v>46022</x:v>
      </x:c>
      <x:c r="C13" s="20" t="n">
        <x:v>3427.158</x:v>
      </x:c>
      <x:c r="D13" s="20" t="n">
        <x:v>686.957</x:v>
      </x:c>
      <x:c r="E13" s="20" t="n">
        <x:v>2740.201</x:v>
      </x:c>
      <x:c r="F13" s="22" t="n">
        <x:f>IFERROR(E13/C13,"")</x:f>
        <x:v>0.7995549081775629</x:v>
      </x:c>
      <x:c r="G13" s="22" t="n">
        <x:f>IFERROR(C13/C12-1,"")</x:f>
        <x:v>0.2767536858183308</x:v>
      </x:c>
      <x:c r="H13" s="22" t="n">
        <x:f>IFERROR(D13/D12-1,"")</x:f>
        <x:v>0.3325231654352503</x:v>
      </x:c>
      <x:c r="I13" s="20" t="n">
        <x:v>1548.451</x:v>
      </x:c>
      <x:c r="J13" s="20" t="n">
        <x:v>956.423</x:v>
      </x:c>
      <x:c r="K13" s="20" t="n">
        <x:v>279.7</x:v>
      </x:c>
      <x:c r="L13" s="20" t="n">
        <x:v>-44.373</x:v>
      </x:c>
      <x:c r="M13" s="22" t="n">
        <x:f>IFERROR(L13/C13,"")</x:f>
        <x:v>-0.012947462591453327</x:v>
      </x:c>
      <x:c r="N13" s="16" t="str">
        <x:v>10K-2025</x:v>
      </x:c>
    </x:row>
  </x:sheetData>
  <x:mergeCells>
    <x:mergeCell ref="A1:N2"/>
    <x:mergeCell ref="A3:N3"/>
  </x:mergeCells>
  <x:pageMargins left="0.7" right="0.7" top="0.75" bottom="0.75" header="0.3" footer="0.3"/>
  <x:drawing xmlns:r="http://schemas.openxmlformats.org/officeDocument/2006/relationships" r:id="R00339056f55542dd"/>
  <x:tableParts count="1">
    <x:tablePart xmlns:r="http://schemas.openxmlformats.org/officeDocument/2006/relationships" r:id="Re884a4a31fcf40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9.109999656677246" hidden="0" customWidth="1"/>
    <x:col min="3" max="3" width="9.109999656677246" hidden="0" customWidth="1"/>
    <x:col min="4" max="4" width="9.109999656677246" hidden="0" customWidth="1"/>
    <x:col min="5" max="5" width="9.109999656677246" hidden="0" customWidth="1"/>
    <x:col min="6" max="6" width="9.109999656677246" hidden="0" customWidth="1"/>
    <x:col min="7" max="7" width="14" hidden="0" customWidth="1"/>
    <x:col min="8" max="8" width="10" hidden="0" customWidth="1"/>
    <x:col min="9" max="9" width="28.889999389648438" hidden="0" customWidth="1"/>
    <x:col min="10" max="10" width="24.440000534057617" hidden="0" customWidth="1"/>
  </x:cols>
  <x:sheetData>
    <x:row r="1" ht="28" customHeight="1">
      <x:c r="A1" s="126" t="str">
        <x:v>Datadog — multi-product adoption</x:v>
      </x:c>
      <x:c r="B1" s="3"/>
      <x:c r="C1" s="3"/>
      <x:c r="D1" s="3"/>
      <x:c r="E1" s="3"/>
      <x:c r="F1" s="3"/>
      <x:c r="G1" s="3"/>
      <x:c r="H1" s="3"/>
      <x:c r="I1" s="3"/>
      <x:c r="J1" s="3"/>
    </x:row>
    <x:row r="2" ht="28" customHeight="1">
      <x:c r="A2" s="3"/>
      <x:c r="B2" s="3"/>
      <x:c r="C2" s="3"/>
      <x:c r="D2" s="3"/>
      <x:c r="E2" s="3"/>
      <x:c r="F2" s="3"/>
      <x:c r="G2" s="3"/>
      <x:c r="H2" s="3"/>
      <x:c r="I2" s="3"/>
      <x:c r="J2" s="3"/>
    </x:row>
    <x:row r="3" ht="30" customHeight="1">
      <x:c r="A3" s="127" t="str">
        <x:v>Quarterly operating KPI. Percent of customers using at least N products; management claim, not audited revenue. Later-period comparatives are explicitly labeled.</x:v>
      </x:c>
      <x:c r="B3" s="7"/>
      <x:c r="C3" s="7"/>
      <x:c r="D3" s="7"/>
      <x:c r="E3" s="7"/>
      <x:c r="F3" s="7"/>
      <x:c r="G3" s="7"/>
      <x:c r="H3" s="7"/>
      <x:c r="I3" s="7"/>
      <x:c r="J3" s="7"/>
    </x:row>
    <x:row r="5">
      <x:c r="A5" s="12" t="str">
        <x:v>Period</x:v>
      </x:c>
      <x:c r="B5" s="12" t="str">
        <x:v>2+ products</x:v>
      </x:c>
      <x:c r="C5" s="12" t="str">
        <x:v>4+ products</x:v>
      </x:c>
      <x:c r="D5" s="12" t="str">
        <x:v>6+ products</x:v>
      </x:c>
      <x:c r="E5" s="12" t="str">
        <x:v>8+ products</x:v>
      </x:c>
      <x:c r="F5" s="12" t="str">
        <x:v>10+ products</x:v>
      </x:c>
      <x:c r="G5" s="12" t="str">
        <x:v>Evidence label</x:v>
      </x:c>
      <x:c r="H5" s="12" t="str">
        <x:v>Source ID</x:v>
      </x:c>
      <x:c r="I5" s="12" t="str">
        <x:v>Official URL</x:v>
      </x:c>
      <x:c r="J5" s="12" t="str">
        <x:v>Basis / note</x:v>
      </x:c>
    </x:row>
    <x:row r="6">
      <x:c r="A6" s="15" t="str">
        <x:v>2020Q2</x:v>
      </x:c>
      <x:c r="B6" s="47" t="n">
        <x:v>0.68</x:v>
      </x:c>
      <x:c r="C6" s="47" t="n">
        <x:v>0.15</x:v>
      </x:c>
      <x:c r="D6" s="47"/>
      <x:c r="E6" s="47"/>
      <x:c r="F6" s="47"/>
      <x:c r="G6" s="43" t="str">
        <x:v>issuer_management_claim</x:v>
      </x:c>
      <x:c r="H6" s="43" t="str">
        <x:v>TR-2021Q2</x:v>
      </x:c>
      <x:c r="I6" s="44" t="str">
        <x:v>https://investors.datadoghq.com/static-files/82ccb0c5-c0dd-4719-96c2-531de4fcb772</x:v>
      </x:c>
      <x:c r="J6" s="43" t="str">
        <x:v>later-period comparative</x:v>
      </x:c>
    </x:row>
    <x:row r="7">
      <x:c r="A7" s="15" t="str">
        <x:v>2020Q3</x:v>
      </x:c>
      <x:c r="B7" s="47" t="n">
        <x:v>0.71</x:v>
      </x:c>
      <x:c r="C7" s="47" t="n">
        <x:v>0.2</x:v>
      </x:c>
      <x:c r="D7" s="47" t="n">
        <x:v>0.02</x:v>
      </x:c>
      <x:c r="E7" s="47" t="n">
        <x:v>0</x:v>
      </x:c>
      <x:c r="F7" s="47"/>
      <x:c r="G7" s="43" t="str">
        <x:v>issuer_management_claim</x:v>
      </x:c>
      <x:c r="H7" s="43" t="str">
        <x:v>PX-2026</x:v>
      </x:c>
      <x:c r="I7" s="44" t="str">
        <x:v>https://investors.datadoghq.com/static-files/da3a926b-cc0e-449f-9473-89daa13dc291</x:v>
      </x:c>
      <x:c r="J7" s="43" t="str">
        <x:v>later proxy comparative</x:v>
      </x:c>
    </x:row>
    <x:row r="8">
      <x:c r="A8" s="15" t="str">
        <x:v>2020Q4</x:v>
      </x:c>
      <x:c r="B8" s="47" t="n">
        <x:v>0.72</x:v>
      </x:c>
      <x:c r="C8" s="47" t="n">
        <x:v>0.22</x:v>
      </x:c>
      <x:c r="D8" s="47" t="n">
        <x:v>0.03</x:v>
      </x:c>
      <x:c r="E8" s="47" t="n">
        <x:v>0</x:v>
      </x:c>
      <x:c r="F8" s="47" t="n">
        <x:v>0</x:v>
      </x:c>
      <x:c r="G8" s="43" t="str">
        <x:v>issuer_management_claim</x:v>
      </x:c>
      <x:c r="H8" s="43" t="str">
        <x:v>TR-2021Q4</x:v>
      </x:c>
      <x:c r="I8" s="44" t="str">
        <x:v>https://investors.datadoghq.com/static-files/420cfcd2-d501-47e4-9772-b82c335d9e14</x:v>
      </x:c>
      <x:c r="J8" s="43" t="str">
        <x:v>later-period comparative</x:v>
      </x:c>
    </x:row>
    <x:row r="9">
      <x:c r="A9" s="15" t="str">
        <x:v>2021Q1</x:v>
      </x:c>
      <x:c r="B9" s="47" t="n">
        <x:v>0.75</x:v>
      </x:c>
      <x:c r="C9" s="47" t="n">
        <x:v>0.25</x:v>
      </x:c>
      <x:c r="D9" s="47" t="n">
        <x:v>0.04</x:v>
      </x:c>
      <x:c r="E9" s="47"/>
      <x:c r="F9" s="47"/>
      <x:c r="G9" s="43" t="str">
        <x:v>issuer_management_claim</x:v>
      </x:c>
      <x:c r="H9" s="43" t="str">
        <x:v>TR-2022Q1</x:v>
      </x:c>
      <x:c r="I9" s="44" t="str">
        <x:v>https://investors.datadoghq.com/static-files/48408afd-fa82-490a-8d0c-bd89375de6df</x:v>
      </x:c>
      <x:c r="J9" s="43" t="str">
        <x:v>later-period comparative</x:v>
      </x:c>
    </x:row>
    <x:row r="10">
      <x:c r="A10" s="15" t="str">
        <x:v>2021Q2</x:v>
      </x:c>
      <x:c r="B10" s="47" t="n">
        <x:v>0.75</x:v>
      </x:c>
      <x:c r="C10" s="47" t="n">
        <x:v>0.28</x:v>
      </x:c>
      <x:c r="D10" s="47" t="n">
        <x:v>0.06</x:v>
      </x:c>
      <x:c r="E10" s="47"/>
      <x:c r="F10" s="47"/>
      <x:c r="G10" s="43" t="str">
        <x:v>issuer_management_claim</x:v>
      </x:c>
      <x:c r="H10" s="43" t="str">
        <x:v>TR-2021Q2</x:v>
      </x:c>
      <x:c r="I10" s="44" t="str">
        <x:v>https://investors.datadoghq.com/static-files/82ccb0c5-c0dd-4719-96c2-531de4fcb772</x:v>
      </x:c>
      <x:c r="J10" s="43" t="str">
        <x:v>direct</x:v>
      </x:c>
    </x:row>
    <x:row r="11">
      <x:c r="A11" s="15" t="str">
        <x:v>2021Q3</x:v>
      </x:c>
      <x:c r="B11" s="47" t="n">
        <x:v>0.77</x:v>
      </x:c>
      <x:c r="C11" s="47" t="n">
        <x:v>0.31</x:v>
      </x:c>
      <x:c r="D11" s="47"/>
      <x:c r="E11" s="47"/>
      <x:c r="F11" s="47"/>
      <x:c r="G11" s="43" t="str">
        <x:v>issuer_management_claim</x:v>
      </x:c>
      <x:c r="H11" s="43" t="str">
        <x:v>TR-2021Q3</x:v>
      </x:c>
      <x:c r="I11" s="44" t="str">
        <x:v>https://investors.datadoghq.com/static-files/d5f1c9d9-6742-43b4-ba5d-75446b4752a4</x:v>
      </x:c>
      <x:c r="J11" s="43" t="str">
        <x:v>direct</x:v>
      </x:c>
    </x:row>
    <x:row r="12">
      <x:c r="A12" s="15" t="str">
        <x:v>2021Q4</x:v>
      </x:c>
      <x:c r="B12" s="47" t="n">
        <x:v>0.78</x:v>
      </x:c>
      <x:c r="C12" s="47" t="n">
        <x:v>0.33</x:v>
      </x:c>
      <x:c r="D12" s="47" t="n">
        <x:v>0.1</x:v>
      </x:c>
      <x:c r="E12" s="47"/>
      <x:c r="F12" s="47"/>
      <x:c r="G12" s="43" t="str">
        <x:v>issuer_management_claim</x:v>
      </x:c>
      <x:c r="H12" s="43" t="str">
        <x:v>TR-2022Q4</x:v>
      </x:c>
      <x:c r="I12" s="44" t="str">
        <x:v>https://investors.datadoghq.com/static-files/77923fd2-a329-4ee0-bb04-6ee30cb7ea96</x:v>
      </x:c>
      <x:c r="J12" s="43" t="str">
        <x:v>later-period comparative; working value resolves transcript conflict</x:v>
      </x:c>
    </x:row>
    <x:row r="13">
      <x:c r="A13" s="15" t="str">
        <x:v>2022Q1</x:v>
      </x:c>
      <x:c r="B13" s="47" t="n">
        <x:v>0.81</x:v>
      </x:c>
      <x:c r="C13" s="47" t="n">
        <x:v>0.35</x:v>
      </x:c>
      <x:c r="D13" s="47" t="n">
        <x:v>0.12</x:v>
      </x:c>
      <x:c r="E13" s="47"/>
      <x:c r="F13" s="47"/>
      <x:c r="G13" s="43" t="str">
        <x:v>issuer_management_claim</x:v>
      </x:c>
      <x:c r="H13" s="43" t="str">
        <x:v>TR-2022Q1</x:v>
      </x:c>
      <x:c r="I13" s="44" t="str">
        <x:v>https://investors.datadoghq.com/static-files/48408afd-fa82-490a-8d0c-bd89375de6df</x:v>
      </x:c>
      <x:c r="J13" s="43" t="str">
        <x:v>direct</x:v>
      </x:c>
    </x:row>
    <x:row r="14">
      <x:c r="A14" s="15" t="str">
        <x:v>2022Q2</x:v>
      </x:c>
      <x:c r="B14" s="47" t="n">
        <x:v>0.79</x:v>
      </x:c>
      <x:c r="C14" s="47" t="n">
        <x:v>0.37</x:v>
      </x:c>
      <x:c r="D14" s="47" t="n">
        <x:v>0.14</x:v>
      </x:c>
      <x:c r="E14" s="47"/>
      <x:c r="F14" s="47"/>
      <x:c r="G14" s="43" t="str">
        <x:v>issuer_management_claim</x:v>
      </x:c>
      <x:c r="H14" s="43" t="str">
        <x:v>TR-2022Q2</x:v>
      </x:c>
      <x:c r="I14" s="44" t="str">
        <x:v>https://investors.datadoghq.com/static-files/69426685-ec10-4e71-a634-5de5bddd9577</x:v>
      </x:c>
      <x:c r="J14" s="43" t="str">
        <x:v>direct</x:v>
      </x:c>
    </x:row>
    <x:row r="15">
      <x:c r="A15" s="15" t="str">
        <x:v>2022Q3</x:v>
      </x:c>
      <x:c r="B15" s="47" t="n">
        <x:v>0.8</x:v>
      </x:c>
      <x:c r="C15" s="47" t="n">
        <x:v>0.4</x:v>
      </x:c>
      <x:c r="D15" s="47" t="n">
        <x:v>0.16</x:v>
      </x:c>
      <x:c r="E15" s="47"/>
      <x:c r="F15" s="47"/>
      <x:c r="G15" s="43" t="str">
        <x:v>issuer_management_claim</x:v>
      </x:c>
      <x:c r="H15" s="43" t="str">
        <x:v>TR-2023Q3</x:v>
      </x:c>
      <x:c r="I15" s="44" t="str">
        <x:v>https://investors.datadoghq.com/static-files/5c1ee653-d0d8-4d28-b65c-2866ff17cefa</x:v>
      </x:c>
      <x:c r="J15" s="43" t="str">
        <x:v>later-period comparative</x:v>
      </x:c>
    </x:row>
    <x:row r="16">
      <x:c r="A16" s="15" t="str">
        <x:v>2022Q4</x:v>
      </x:c>
      <x:c r="B16" s="47" t="n">
        <x:v>0.81</x:v>
      </x:c>
      <x:c r="C16" s="47" t="n">
        <x:v>0.42</x:v>
      </x:c>
      <x:c r="D16" s="47" t="n">
        <x:v>0.18</x:v>
      </x:c>
      <x:c r="E16" s="47"/>
      <x:c r="F16" s="47"/>
      <x:c r="G16" s="43" t="str">
        <x:v>issuer_management_claim</x:v>
      </x:c>
      <x:c r="H16" s="43" t="str">
        <x:v>TR-2022Q4</x:v>
      </x:c>
      <x:c r="I16" s="44" t="str">
        <x:v>https://investors.datadoghq.com/static-files/77923fd2-a329-4ee0-bb04-6ee30cb7ea96</x:v>
      </x:c>
      <x:c r="J16" s="43" t="str">
        <x:v>direct</x:v>
      </x:c>
    </x:row>
    <x:row r="17">
      <x:c r="A17" s="15" t="str">
        <x:v>2023Q1</x:v>
      </x:c>
      <x:c r="B17" s="47" t="n">
        <x:v>0.81</x:v>
      </x:c>
      <x:c r="C17" s="47" t="n">
        <x:v>0.43</x:v>
      </x:c>
      <x:c r="D17" s="47" t="n">
        <x:v>0.19</x:v>
      </x:c>
      <x:c r="E17" s="47" t="n">
        <x:v>0.07</x:v>
      </x:c>
      <x:c r="F17" s="47"/>
      <x:c r="G17" s="43" t="str">
        <x:v>issuer_management_claim</x:v>
      </x:c>
      <x:c r="H17" s="43" t="str">
        <x:v>TR-2024Q1</x:v>
      </x:c>
      <x:c r="I17" s="44" t="str">
        <x:v>https://investors.datadoghq.com/static-files/b85b8989-e41e-4aed-9a24-cc1d0fb1c8c6</x:v>
      </x:c>
      <x:c r="J17" s="43" t="str">
        <x:v>later-period comparative</x:v>
      </x:c>
    </x:row>
    <x:row r="18">
      <x:c r="A18" s="15" t="str">
        <x:v>2023Q2</x:v>
      </x:c>
      <x:c r="B18" s="47" t="n">
        <x:v>0.82</x:v>
      </x:c>
      <x:c r="C18" s="47" t="n">
        <x:v>0.45</x:v>
      </x:c>
      <x:c r="D18" s="47" t="n">
        <x:v>0.21</x:v>
      </x:c>
      <x:c r="E18" s="47" t="n">
        <x:v>0.07</x:v>
      </x:c>
      <x:c r="F18" s="47"/>
      <x:c r="G18" s="43" t="str">
        <x:v>issuer_management_claim</x:v>
      </x:c>
      <x:c r="H18" s="43" t="str">
        <x:v>TR-2023Q2</x:v>
      </x:c>
      <x:c r="I18" s="44" t="str">
        <x:v>https://investors.datadoghq.com/static-files/f53f970e-f167-4bff-9137-b17ff8b7cad5</x:v>
      </x:c>
      <x:c r="J18" s="43" t="str">
        <x:v>direct; 8+ from later comparative</x:v>
      </x:c>
    </x:row>
    <x:row r="19">
      <x:c r="A19" s="15" t="str">
        <x:v>2023Q3</x:v>
      </x:c>
      <x:c r="B19" s="47" t="n">
        <x:v>0.82</x:v>
      </x:c>
      <x:c r="C19" s="47" t="n">
        <x:v>0.46</x:v>
      </x:c>
      <x:c r="D19" s="47" t="n">
        <x:v>0.21</x:v>
      </x:c>
      <x:c r="E19" s="47" t="n">
        <x:v>0.08</x:v>
      </x:c>
      <x:c r="F19" s="47"/>
      <x:c r="G19" s="43" t="str">
        <x:v>issuer_management_claim</x:v>
      </x:c>
      <x:c r="H19" s="43" t="str">
        <x:v>TR-2023Q3</x:v>
      </x:c>
      <x:c r="I19" s="44" t="str">
        <x:v>https://investors.datadoghq.com/static-files/5c1ee653-d0d8-4d28-b65c-2866ff17cefa</x:v>
      </x:c>
      <x:c r="J19" s="43" t="str">
        <x:v>direct</x:v>
      </x:c>
    </x:row>
    <x:row r="20">
      <x:c r="A20" s="15" t="str">
        <x:v>2023Q4</x:v>
      </x:c>
      <x:c r="B20" s="47" t="n">
        <x:v>0.83</x:v>
      </x:c>
      <x:c r="C20" s="47" t="n">
        <x:v>0.47</x:v>
      </x:c>
      <x:c r="D20" s="47" t="n">
        <x:v>0.22</x:v>
      </x:c>
      <x:c r="E20" s="47" t="n">
        <x:v>0.09</x:v>
      </x:c>
      <x:c r="F20" s="47"/>
      <x:c r="G20" s="43" t="str">
        <x:v>issuer_management_claim</x:v>
      </x:c>
      <x:c r="H20" s="43" t="str">
        <x:v>TR-2023Q4</x:v>
      </x:c>
      <x:c r="I20" s="44" t="str">
        <x:v>https://investors.datadoghq.com/static-files/8a1b21f1-c008-4b97-afca-b11b0e0cbec5</x:v>
      </x:c>
      <x:c r="J20" s="43" t="str">
        <x:v>direct</x:v>
      </x:c>
    </x:row>
    <x:row r="21">
      <x:c r="A21" s="15" t="str">
        <x:v>2024Q1</x:v>
      </x:c>
      <x:c r="B21" s="47" t="n">
        <x:v>0.82</x:v>
      </x:c>
      <x:c r="C21" s="47" t="n">
        <x:v>0.47</x:v>
      </x:c>
      <x:c r="D21" s="47" t="n">
        <x:v>0.23</x:v>
      </x:c>
      <x:c r="E21" s="47" t="n">
        <x:v>0.1</x:v>
      </x:c>
      <x:c r="F21" s="47"/>
      <x:c r="G21" s="43" t="str">
        <x:v>issuer_management_claim</x:v>
      </x:c>
      <x:c r="H21" s="43" t="str">
        <x:v>TR-2024Q1</x:v>
      </x:c>
      <x:c r="I21" s="44" t="str">
        <x:v>https://investors.datadoghq.com/static-files/b85b8989-e41e-4aed-9a24-cc1d0fb1c8c6</x:v>
      </x:c>
      <x:c r="J21" s="43" t="str">
        <x:v>direct</x:v>
      </x:c>
    </x:row>
    <x:row r="22">
      <x:c r="A22" s="15" t="str">
        <x:v>2024Q2</x:v>
      </x:c>
      <x:c r="B22" s="47" t="n">
        <x:v>0.83</x:v>
      </x:c>
      <x:c r="C22" s="47" t="n">
        <x:v>0.49</x:v>
      </x:c>
      <x:c r="D22" s="47" t="n">
        <x:v>0.25</x:v>
      </x:c>
      <x:c r="E22" s="47" t="n">
        <x:v>0.11</x:v>
      </x:c>
      <x:c r="F22" s="47"/>
      <x:c r="G22" s="43" t="str">
        <x:v>issuer_management_claim</x:v>
      </x:c>
      <x:c r="H22" s="43" t="str">
        <x:v>TR-2024Q2</x:v>
      </x:c>
      <x:c r="I22" s="44" t="str">
        <x:v>https://investors.datadoghq.com/static-files/6d1533bf-a289-4f4a-8316-164daaebf706</x:v>
      </x:c>
      <x:c r="J22" s="43" t="str">
        <x:v>direct</x:v>
      </x:c>
    </x:row>
    <x:row r="23">
      <x:c r="A23" s="15" t="str">
        <x:v>2024Q3</x:v>
      </x:c>
      <x:c r="B23" s="47" t="n">
        <x:v>0.83</x:v>
      </x:c>
      <x:c r="C23" s="47" t="n">
        <x:v>0.49</x:v>
      </x:c>
      <x:c r="D23" s="47" t="n">
        <x:v>0.26</x:v>
      </x:c>
      <x:c r="E23" s="47" t="n">
        <x:v>0.12</x:v>
      </x:c>
      <x:c r="F23" s="47"/>
      <x:c r="G23" s="43" t="str">
        <x:v>issuer_management_claim</x:v>
      </x:c>
      <x:c r="H23" s="43" t="str">
        <x:v>TR-2024Q3</x:v>
      </x:c>
      <x:c r="I23" s="44" t="str">
        <x:v>https://investors.datadoghq.com/static-files/e3e6f71c-4207-4296-acd5-b994ab22fe81</x:v>
      </x:c>
      <x:c r="J23" s="43" t="str">
        <x:v>direct</x:v>
      </x:c>
    </x:row>
    <x:row r="24">
      <x:c r="A24" s="15" t="str">
        <x:v>2024Q4</x:v>
      </x:c>
      <x:c r="B24" s="47" t="n">
        <x:v>0.83</x:v>
      </x:c>
      <x:c r="C24" s="47" t="n">
        <x:v>0.5</x:v>
      </x:c>
      <x:c r="D24" s="47" t="n">
        <x:v>0.26</x:v>
      </x:c>
      <x:c r="E24" s="47" t="n">
        <x:v>0.13</x:v>
      </x:c>
      <x:c r="F24" s="47" t="n">
        <x:v>0.05</x:v>
      </x:c>
      <x:c r="G24" s="43" t="str">
        <x:v>issuer_management_claim</x:v>
      </x:c>
      <x:c r="H24" s="43" t="str">
        <x:v>10K-2025</x:v>
      </x:c>
      <x:c r="I24" s="44" t="str">
        <x:v>https://www.sec.gov/Archives/edgar/data/1561550/000162828026008819/ddog-20251231.htm</x:v>
      </x:c>
      <x:c r="J24" s="43" t="str">
        <x:v>later filed comparative; working basis for transcript rounding conflict</x:v>
      </x:c>
    </x:row>
    <x:row r="25">
      <x:c r="A25" s="15" t="str">
        <x:v>2025Q1</x:v>
      </x:c>
      <x:c r="B25" s="47" t="n">
        <x:v>0.83</x:v>
      </x:c>
      <x:c r="C25" s="47" t="n">
        <x:v>0.51</x:v>
      </x:c>
      <x:c r="D25" s="47" t="n">
        <x:v>0.28</x:v>
      </x:c>
      <x:c r="E25" s="47" t="n">
        <x:v>0.13</x:v>
      </x:c>
      <x:c r="F25" s="47" t="n">
        <x:v>0.06</x:v>
      </x:c>
      <x:c r="G25" s="43" t="str">
        <x:v>issuer_management_claim</x:v>
      </x:c>
      <x:c r="H25" s="43" t="str">
        <x:v>10Q-2026Q1</x:v>
      </x:c>
      <x:c r="I25" s="44" t="str">
        <x:v>https://www.sec.gov/Archives/edgar/data/1561550/000162828026032328/ddog-20260331.htm</x:v>
      </x:c>
      <x:c r="J25" s="43" t="str">
        <x:v>later filed comparative</x:v>
      </x:c>
    </x:row>
    <x:row r="26">
      <x:c r="A26" s="15" t="str">
        <x:v>2025Q2</x:v>
      </x:c>
      <x:c r="B26" s="47" t="n">
        <x:v>0.83</x:v>
      </x:c>
      <x:c r="C26" s="47" t="n">
        <x:v>0.52</x:v>
      </x:c>
      <x:c r="D26" s="47" t="n">
        <x:v>0.29</x:v>
      </x:c>
      <x:c r="E26" s="47" t="n">
        <x:v>0.14</x:v>
      </x:c>
      <x:c r="F26" s="47"/>
      <x:c r="G26" s="43" t="str">
        <x:v>issuer_management_claim</x:v>
      </x:c>
      <x:c r="H26" s="43" t="str">
        <x:v>TR-2025Q2</x:v>
      </x:c>
      <x:c r="I26" s="44" t="str">
        <x:v>https://investors.datadoghq.com/static-files/4b5b9407-c0e8-4333-b035-ca5b894e8904</x:v>
      </x:c>
      <x:c r="J26" s="43" t="str">
        <x:v>direct</x:v>
      </x:c>
    </x:row>
    <x:row r="27">
      <x:c r="A27" s="15" t="str">
        <x:v>2025Q3</x:v>
      </x:c>
      <x:c r="B27" s="47" t="n">
        <x:v>0.84</x:v>
      </x:c>
      <x:c r="C27" s="47" t="n">
        <x:v>0.54</x:v>
      </x:c>
      <x:c r="D27" s="47" t="n">
        <x:v>0.31</x:v>
      </x:c>
      <x:c r="E27" s="47" t="n">
        <x:v>0.16</x:v>
      </x:c>
      <x:c r="F27" s="47"/>
      <x:c r="G27" s="43" t="str">
        <x:v>issuer_management_claim</x:v>
      </x:c>
      <x:c r="H27" s="43" t="str">
        <x:v>10Q-2025Q3</x:v>
      </x:c>
      <x:c r="I27" s="44" t="str">
        <x:v>https://www.sec.gov/Archives/edgar/data/1561550/000156155025000313/ddog-20250930.htm</x:v>
      </x:c>
      <x:c r="J27" s="43" t="str">
        <x:v>filed</x:v>
      </x:c>
    </x:row>
    <x:row r="28">
      <x:c r="A28" s="15" t="str">
        <x:v>2025Q4</x:v>
      </x:c>
      <x:c r="B28" s="47" t="n">
        <x:v>0.84</x:v>
      </x:c>
      <x:c r="C28" s="47" t="n">
        <x:v>0.55</x:v>
      </x:c>
      <x:c r="D28" s="47" t="n">
        <x:v>0.33</x:v>
      </x:c>
      <x:c r="E28" s="47" t="n">
        <x:v>0.18</x:v>
      </x:c>
      <x:c r="F28" s="47" t="n">
        <x:v>0.09</x:v>
      </x:c>
      <x:c r="G28" s="43" t="str">
        <x:v>issuer_management_claim</x:v>
      </x:c>
      <x:c r="H28" s="43" t="str">
        <x:v>10K-2025</x:v>
      </x:c>
      <x:c r="I28" s="44" t="str">
        <x:v>https://www.sec.gov/Archives/edgar/data/1561550/000162828026008819/ddog-20251231.htm</x:v>
      </x:c>
      <x:c r="J28" s="43" t="str">
        <x:v>filed</x:v>
      </x:c>
    </x:row>
    <x:row r="29">
      <x:c r="A29" s="16" t="str">
        <x:v>2026Q1</x:v>
      </x:c>
      <x:c r="B29" s="48" t="n">
        <x:v>0.85</x:v>
      </x:c>
      <x:c r="C29" s="48" t="n">
        <x:v>0.56</x:v>
      </x:c>
      <x:c r="D29" s="48" t="n">
        <x:v>0.35</x:v>
      </x:c>
      <x:c r="E29" s="48" t="n">
        <x:v>0.2</x:v>
      </x:c>
      <x:c r="F29" s="48" t="n">
        <x:v>0.11</x:v>
      </x:c>
      <x:c r="G29" s="45" t="str">
        <x:v>issuer_management_claim</x:v>
      </x:c>
      <x:c r="H29" s="45" t="str">
        <x:v>10Q-2026Q1</x:v>
      </x:c>
      <x:c r="I29" s="46" t="str">
        <x:v>https://www.sec.gov/Archives/edgar/data/1561550/000162828026032328/ddog-20260331.htm</x:v>
      </x:c>
      <x:c r="J29" s="45" t="str">
        <x:v>filed</x:v>
      </x:c>
    </x:row>
  </x:sheetData>
  <x:mergeCells>
    <x:mergeCell ref="A1:J2"/>
    <x:mergeCell ref="A3:J3"/>
  </x:mergeCells>
  <x:pageMargins left="0.7" right="0.7" top="0.75" bottom="0.75" header="0.3" footer="0.3"/>
  <x:drawing xmlns:r="http://schemas.openxmlformats.org/officeDocument/2006/relationships" r:id="R6575b87a69954986"/>
  <x:tableParts count="1">
    <x:tablePart xmlns:r="http://schemas.openxmlformats.org/officeDocument/2006/relationships" r:id="R2f5064ceba8040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2.4399995803833" hidden="0" customWidth="1"/>
    <x:col min="3" max="3" width="27.780000686645508" hidden="0" customWidth="1"/>
    <x:col min="4" max="4" width="12.4399995803833" hidden="0" customWidth="1"/>
    <x:col min="5" max="5" width="10" hidden="0" customWidth="1"/>
    <x:col min="6" max="6" width="9.5600004196167" hidden="0" customWidth="1"/>
    <x:col min="7" max="7" width="7.78000020980835" hidden="0" customWidth="1"/>
    <x:col min="8" max="8" width="14.4399995803833" hidden="0" customWidth="1"/>
    <x:col min="9" max="9" width="10.220000267028809" hidden="0" customWidth="1"/>
    <x:col min="10" max="10" width="29.440000534057617" hidden="0" customWidth="1"/>
    <x:col min="11" max="11" width="23.329999923706055" hidden="0" customWidth="1"/>
  </x:cols>
  <x:sheetData>
    <x:row r="1" ht="28" customHeight="1">
      <x:c r="A1" s="126" t="str">
        <x:v>Datadog — disclosed product milestones</x:v>
      </x:c>
      <x:c r="B1" s="3"/>
      <x:c r="C1" s="3"/>
      <x:c r="D1" s="3"/>
      <x:c r="E1" s="3"/>
      <x:c r="F1" s="3"/>
      <x:c r="G1" s="3"/>
      <x:c r="H1" s="3"/>
      <x:c r="I1" s="3"/>
      <x:c r="J1" s="3"/>
      <x:c r="K1" s="3"/>
    </x:row>
    <x:row r="2" ht="28" customHeight="1">
      <x:c r="A2" s="3"/>
      <x:c r="B2" s="3"/>
      <x:c r="C2" s="3"/>
      <x:c r="D2" s="3"/>
      <x:c r="E2" s="3"/>
      <x:c r="F2" s="3"/>
      <x:c r="G2" s="3"/>
      <x:c r="H2" s="3"/>
      <x:c r="I2" s="3"/>
      <x:c r="J2" s="3"/>
      <x:c r="K2" s="3"/>
    </x:row>
    <x:row r="3" ht="30" customHeight="1">
      <x:c r="A3" s="127" t="str">
        <x:v>Sparse, rounded management disclosures. Lower bounds are not point estimates; scopes change across periods and should not be summed without checking overlap.</x:v>
      </x:c>
      <x:c r="B3" s="7"/>
      <x:c r="C3" s="7"/>
      <x:c r="D3" s="7"/>
      <x:c r="E3" s="7"/>
      <x:c r="F3" s="7"/>
      <x:c r="G3" s="7"/>
      <x:c r="H3" s="7"/>
      <x:c r="I3" s="7"/>
      <x:c r="J3" s="7"/>
      <x:c r="K3" s="7"/>
    </x:row>
    <x:row r="5">
      <x:c r="A5" s="12" t="str">
        <x:v>Period</x:v>
      </x:c>
      <x:c r="B5" s="12" t="str">
        <x:v>Metric</x:v>
      </x:c>
      <x:c r="C5" s="12" t="str">
        <x:v>Product / scope</x:v>
      </x:c>
      <x:c r="D5" s="12" t="str">
        <x:v>Lower bound / value</x:v>
      </x:c>
      <x:c r="E5" s="12" t="str">
        <x:v>Upper bound</x:v>
      </x:c>
      <x:c r="F5" s="12" t="str">
        <x:v>Unit</x:v>
      </x:c>
      <x:c r="G5" s="12" t="str">
        <x:v>Qualifier</x:v>
      </x:c>
      <x:c r="H5" s="12" t="str">
        <x:v>Evidence label</x:v>
      </x:c>
      <x:c r="I5" s="12" t="str">
        <x:v>Source ID</x:v>
      </x:c>
      <x:c r="J5" s="12" t="str">
        <x:v>Official URL</x:v>
      </x:c>
      <x:c r="K5" s="12" t="str">
        <x:v>Comparability note</x:v>
      </x:c>
    </x:row>
    <x:row r="6">
      <x:c r="A6" s="15" t="str">
        <x:v>2021Q2</x:v>
      </x:c>
      <x:c r="B6" s="15" t="str">
        <x:v>Combined ARR</x:v>
      </x:c>
      <x:c r="C6" s="43" t="str">
        <x:v>APM suite incl. RUM/Synthetics + Log Management</x:v>
      </x:c>
      <x:c r="D6" s="49" t="n">
        <x:v>400</x:v>
      </x:c>
      <x:c r="E6" s="49"/>
      <x:c r="F6" s="15" t="str">
        <x:v>$mm ARR</x:v>
      </x:c>
      <x:c r="G6" s="15" t="str">
        <x:v>&gt;</x:v>
      </x:c>
      <x:c r="H6" s="43" t="str">
        <x:v>issuer_management_claim</x:v>
      </x:c>
      <x:c r="I6" s="43" t="str">
        <x:v>TR-2021Q2</x:v>
      </x:c>
      <x:c r="J6" s="44" t="str">
        <x:v>https://investors.datadoghq.com/static-files/82ccb0c5-c0dd-4719-96c2-531de4fcb772</x:v>
      </x:c>
      <x:c r="K6" s="43" t="str">
        <x:v>rounded lower bound</x:v>
      </x:c>
    </x:row>
    <x:row r="7">
      <x:c r="A7" s="15" t="str">
        <x:v>2021Q4</x:v>
      </x:c>
      <x:c r="B7" s="15" t="str">
        <x:v>ARR added during 2021</x:v>
      </x:c>
      <x:c r="C7" s="43" t="str">
        <x:v>Products launched since 2019, excluding Infra/APM/Logs</x:v>
      </x:c>
      <x:c r="D7" s="49" t="n">
        <x:v>100</x:v>
      </x:c>
      <x:c r="E7" s="49"/>
      <x:c r="F7" s="15" t="str">
        <x:v>$mm ARR</x:v>
      </x:c>
      <x:c r="G7" s="15" t="str">
        <x:v>~</x:v>
      </x:c>
      <x:c r="H7" s="43" t="str">
        <x:v>issuer_management_claim</x:v>
      </x:c>
      <x:c r="I7" s="43" t="str">
        <x:v>TR-2021Q4</x:v>
      </x:c>
      <x:c r="J7" s="44" t="str">
        <x:v>https://investors.datadoghq.com/static-files/420cfcd2-d501-47e4-9772-b82c335d9e14</x:v>
      </x:c>
      <x:c r="K7" s="43" t="str">
        <x:v>not ending ARR; directional</x:v>
      </x:c>
    </x:row>
    <x:row r="8">
      <x:c r="A8" s="15" t="str">
        <x:v>2024Q1</x:v>
      </x:c>
      <x:c r="B8" s="15" t="str">
        <x:v>Combined ARR</x:v>
      </x:c>
      <x:c r="C8" s="43" t="str">
        <x:v>Products outside Infra/APM/Logs</x:v>
      </x:c>
      <x:c r="D8" s="49" t="n">
        <x:v>200</x:v>
      </x:c>
      <x:c r="E8" s="49"/>
      <x:c r="F8" s="15" t="str">
        <x:v>$mm ARR</x:v>
      </x:c>
      <x:c r="G8" s="15" t="str">
        <x:v>&gt;</x:v>
      </x:c>
      <x:c r="H8" s="43" t="str">
        <x:v>issuer_management_claim</x:v>
      </x:c>
      <x:c r="I8" s="43" t="str">
        <x:v>TR-2024Q1</x:v>
      </x:c>
      <x:c r="J8" s="44" t="str">
        <x:v>https://investors.datadoghq.com/static-files/b85b8989-e41e-4aed-9a24-cc1d0fb1c8c6</x:v>
      </x:c>
      <x:c r="K8" s="43" t="str">
        <x:v>rounded lower bound</x:v>
      </x:c>
    </x:row>
    <x:row r="9">
      <x:c r="A9" s="15" t="str">
        <x:v>2024Q1</x:v>
      </x:c>
      <x:c r="B9" s="15" t="str">
        <x:v>Revenue share</x:v>
      </x:c>
      <x:c r="C9" s="43" t="str">
        <x:v>12 products launched in 2020–2022</x:v>
      </x:c>
      <x:c r="D9" s="49" t="n">
        <x:v>11</x:v>
      </x:c>
      <x:c r="E9" s="49"/>
      <x:c r="F9" s="15" t="str">
        <x:v>% revenue</x:v>
      </x:c>
      <x:c r="G9" s="15" t="str">
        <x:v>~</x:v>
      </x:c>
      <x:c r="H9" s="43" t="str">
        <x:v>issuer_management_claim</x:v>
      </x:c>
      <x:c r="I9" s="43" t="str">
        <x:v>TR-2024Q1</x:v>
      </x:c>
      <x:c r="J9" s="44" t="str">
        <x:v>https://investors.datadoghq.com/static-files/b85b8989-e41e-4aed-9a24-cc1d0fb1c8c6</x:v>
      </x:c>
      <x:c r="K9" s="43" t="str">
        <x:v>management approximation</x:v>
      </x:c>
    </x:row>
    <x:row r="10">
      <x:c r="A10" s="15" t="str">
        <x:v>2024Q1</x:v>
      </x:c>
      <x:c r="B10" s="15" t="str">
        <x:v>Revenue share</x:v>
      </x:c>
      <x:c r="C10" s="43" t="str">
        <x:v>Database Monitoring</x:v>
      </x:c>
      <x:c r="D10" s="49" t="n">
        <x:v>1</x:v>
      </x:c>
      <x:c r="E10" s="49"/>
      <x:c r="F10" s="15" t="str">
        <x:v>% revenue</x:v>
      </x:c>
      <x:c r="G10" s="15" t="str">
        <x:v>~</x:v>
      </x:c>
      <x:c r="H10" s="43" t="str">
        <x:v>issuer_management_claim</x:v>
      </x:c>
      <x:c r="I10" s="43" t="str">
        <x:v>TR-2024Q1</x:v>
      </x:c>
      <x:c r="J10" s="44" t="str">
        <x:v>https://investors.datadoghq.com/static-files/b85b8989-e41e-4aed-9a24-cc1d0fb1c8c6</x:v>
      </x:c>
      <x:c r="K10" s="43" t="str">
        <x:v>management approximation</x:v>
      </x:c>
    </x:row>
    <x:row r="11">
      <x:c r="A11" s="15" t="str">
        <x:v>2024Q2</x:v>
      </x:c>
      <x:c r="B11" s="15" t="str">
        <x:v>Product ARR</x:v>
      </x:c>
      <x:c r="C11" s="43" t="str">
        <x:v>Real User Monitoring</x:v>
      </x:c>
      <x:c r="D11" s="49" t="n">
        <x:v>100</x:v>
      </x:c>
      <x:c r="E11" s="49"/>
      <x:c r="F11" s="15" t="str">
        <x:v>$mm ARR</x:v>
      </x:c>
      <x:c r="G11" s="15" t="str">
        <x:v>&gt;</x:v>
      </x:c>
      <x:c r="H11" s="43" t="str">
        <x:v>issuer_management_claim</x:v>
      </x:c>
      <x:c r="I11" s="43" t="str">
        <x:v>TR-2024Q2</x:v>
      </x:c>
      <x:c r="J11" s="44" t="str">
        <x:v>https://investors.datadoghq.com/static-files/6d1533bf-a289-4f4a-8316-164daaebf706</x:v>
      </x:c>
      <x:c r="K11" s="43" t="str">
        <x:v>rounded lower bound</x:v>
      </x:c>
    </x:row>
    <x:row r="12">
      <x:c r="A12" s="15" t="str">
        <x:v>2024Q2</x:v>
      </x:c>
      <x:c r="B12" s="15" t="str">
        <x:v>Product ARR</x:v>
      </x:c>
      <x:c r="C12" s="43" t="str">
        <x:v>Synthetics</x:v>
      </x:c>
      <x:c r="D12" s="49" t="n">
        <x:v>100</x:v>
      </x:c>
      <x:c r="E12" s="49"/>
      <x:c r="F12" s="15" t="str">
        <x:v>$mm ARR</x:v>
      </x:c>
      <x:c r="G12" s="15" t="str">
        <x:v>&gt;</x:v>
      </x:c>
      <x:c r="H12" s="43" t="str">
        <x:v>issuer_management_claim</x:v>
      </x:c>
      <x:c r="I12" s="43" t="str">
        <x:v>TR-2024Q2</x:v>
      </x:c>
      <x:c r="J12" s="44" t="str">
        <x:v>https://investors.datadoghq.com/static-files/6d1533bf-a289-4f4a-8316-164daaebf706</x:v>
      </x:c>
      <x:c r="K12" s="43" t="str">
        <x:v>rounded lower bound</x:v>
      </x:c>
    </x:row>
    <x:row r="13">
      <x:c r="A13" s="15" t="str">
        <x:v>2024Q3</x:v>
      </x:c>
      <x:c r="B13" s="15" t="str">
        <x:v>Combined ARR</x:v>
      </x:c>
      <x:c r="C13" s="43" t="str">
        <x:v>Infrastructure + APM + Logs</x:v>
      </x:c>
      <x:c r="D13" s="49" t="n">
        <x:v>2500</x:v>
      </x:c>
      <x:c r="E13" s="49"/>
      <x:c r="F13" s="15" t="str">
        <x:v>$mm ARR</x:v>
      </x:c>
      <x:c r="G13" s="15" t="str">
        <x:v>&gt;</x:v>
      </x:c>
      <x:c r="H13" s="43" t="str">
        <x:v>issuer_management_claim</x:v>
      </x:c>
      <x:c r="I13" s="43" t="str">
        <x:v>TR-2024Q3</x:v>
      </x:c>
      <x:c r="J13" s="44" t="str">
        <x:v>https://investors.datadoghq.com/static-files/e3e6f71c-4207-4296-acd5-b994ab22fe81</x:v>
      </x:c>
      <x:c r="K13" s="43" t="str">
        <x:v>rounded lower bound</x:v>
      </x:c>
    </x:row>
    <x:row r="14">
      <x:c r="A14" s="15" t="str">
        <x:v>2024Q4</x:v>
      </x:c>
      <x:c r="B14" s="15" t="str">
        <x:v>Product ARR</x:v>
      </x:c>
      <x:c r="C14" s="43" t="str">
        <x:v>Infrastructure Monitoring</x:v>
      </x:c>
      <x:c r="D14" s="49" t="n">
        <x:v>1250</x:v>
      </x:c>
      <x:c r="E14" s="49"/>
      <x:c r="F14" s="15" t="str">
        <x:v>$mm ARR</x:v>
      </x:c>
      <x:c r="G14" s="15" t="str">
        <x:v>&gt;</x:v>
      </x:c>
      <x:c r="H14" s="43" t="str">
        <x:v>issuer_management_claim</x:v>
      </x:c>
      <x:c r="I14" s="43" t="str">
        <x:v>TR-2024Q4</x:v>
      </x:c>
      <x:c r="J14" s="44" t="str">
        <x:v>https://investors.datadoghq.com/static-files/d923379a-cb66-40a9-bc83-2ef334c322d4</x:v>
      </x:c>
      <x:c r="K14" s="43" t="str">
        <x:v>rounded lower bound</x:v>
      </x:c>
    </x:row>
    <x:row r="15">
      <x:c r="A15" s="15" t="str">
        <x:v>2024Q4</x:v>
      </x:c>
      <x:c r="B15" s="15" t="str">
        <x:v>Product ARR</x:v>
      </x:c>
      <x:c r="C15" s="43" t="str">
        <x:v>Log Management</x:v>
      </x:c>
      <x:c r="D15" s="49" t="n">
        <x:v>750</x:v>
      </x:c>
      <x:c r="E15" s="49"/>
      <x:c r="F15" s="15" t="str">
        <x:v>$mm ARR</x:v>
      </x:c>
      <x:c r="G15" s="15" t="str">
        <x:v>&gt;</x:v>
      </x:c>
      <x:c r="H15" s="43" t="str">
        <x:v>issuer_management_claim</x:v>
      </x:c>
      <x:c r="I15" s="43" t="str">
        <x:v>TR-2024Q4</x:v>
      </x:c>
      <x:c r="J15" s="44" t="str">
        <x:v>https://investors.datadoghq.com/static-files/d923379a-cb66-40a9-bc83-2ef334c322d4</x:v>
      </x:c>
      <x:c r="K15" s="43" t="str">
        <x:v>rounded lower bound</x:v>
      </x:c>
    </x:row>
    <x:row r="16">
      <x:c r="A16" s="15" t="str">
        <x:v>2024Q4</x:v>
      </x:c>
      <x:c r="B16" s="15" t="str">
        <x:v>Product ARR</x:v>
      </x:c>
      <x:c r="C16" s="43" t="str">
        <x:v>End-to-end APM</x:v>
      </x:c>
      <x:c r="D16" s="49" t="n">
        <x:v>750</x:v>
      </x:c>
      <x:c r="E16" s="49"/>
      <x:c r="F16" s="15" t="str">
        <x:v>$mm ARR</x:v>
      </x:c>
      <x:c r="G16" s="15" t="str">
        <x:v>&gt;</x:v>
      </x:c>
      <x:c r="H16" s="43" t="str">
        <x:v>issuer_management_claim</x:v>
      </x:c>
      <x:c r="I16" s="43" t="str">
        <x:v>TR-2024Q4</x:v>
      </x:c>
      <x:c r="J16" s="44" t="str">
        <x:v>https://investors.datadoghq.com/static-files/d923379a-cb66-40a9-bc83-2ef334c322d4</x:v>
      </x:c>
      <x:c r="K16" s="43" t="str">
        <x:v>rounded lower bound</x:v>
      </x:c>
    </x:row>
    <x:row r="17">
      <x:c r="A17" s="15" t="str">
        <x:v>2024Q4</x:v>
      </x:c>
      <x:c r="B17" s="15" t="str">
        <x:v>Combined ARR</x:v>
      </x:c>
      <x:c r="C17" s="43" t="str">
        <x:v>Products outside Infra/APM/Logs</x:v>
      </x:c>
      <x:c r="D17" s="49" t="n">
        <x:v>200</x:v>
      </x:c>
      <x:c r="E17" s="49"/>
      <x:c r="F17" s="15" t="str">
        <x:v>$mm ARR</x:v>
      </x:c>
      <x:c r="G17" s="15" t="str">
        <x:v>&gt;</x:v>
      </x:c>
      <x:c r="H17" s="43" t="str">
        <x:v>issuer_management_claim</x:v>
      </x:c>
      <x:c r="I17" s="43" t="str">
        <x:v>TR-2024Q4</x:v>
      </x:c>
      <x:c r="J17" s="44" t="str">
        <x:v>https://investors.datadoghq.com/static-files/d923379a-cb66-40a9-bc83-2ef334c322d4</x:v>
      </x:c>
      <x:c r="K17" s="43" t="str">
        <x:v>rounded lower bound</x:v>
      </x:c>
    </x:row>
    <x:row r="18">
      <x:c r="A18" s="15" t="str">
        <x:v>2024Q4</x:v>
      </x:c>
      <x:c r="B18" s="15" t="str">
        <x:v>Customers</x:v>
      </x:c>
      <x:c r="C18" s="43" t="str">
        <x:v>At least one Security product</x:v>
      </x:c>
      <x:c r="D18" s="49" t="n">
        <x:v>7000</x:v>
      </x:c>
      <x:c r="E18" s="49"/>
      <x:c r="F18" s="15" t="str">
        <x:v>customers</x:v>
      </x:c>
      <x:c r="G18" s="15" t="str">
        <x:v>&gt;</x:v>
      </x:c>
      <x:c r="H18" s="43" t="str">
        <x:v>issuer_management_claim</x:v>
      </x:c>
      <x:c r="I18" s="43" t="str">
        <x:v>TR-2024Q4</x:v>
      </x:c>
      <x:c r="J18" s="44" t="str">
        <x:v>https://investors.datadoghq.com/static-files/d923379a-cb66-40a9-bc83-2ef334c322d4</x:v>
      </x:c>
      <x:c r="K18" s="43" t="str">
        <x:v>not revenue</x:v>
      </x:c>
    </x:row>
    <x:row r="19">
      <x:c r="A19" s="15" t="str">
        <x:v>2025Q4</x:v>
      </x:c>
      <x:c r="B19" s="15" t="str">
        <x:v>Product ARR</x:v>
      </x:c>
      <x:c r="C19" s="43" t="str">
        <x:v>Infrastructure Monitoring</x:v>
      </x:c>
      <x:c r="D19" s="49" t="n">
        <x:v>1600</x:v>
      </x:c>
      <x:c r="E19" s="49"/>
      <x:c r="F19" s="15" t="str">
        <x:v>$mm ARR</x:v>
      </x:c>
      <x:c r="G19" s="15" t="str">
        <x:v>&gt;</x:v>
      </x:c>
      <x:c r="H19" s="43" t="str">
        <x:v>issuer_management_claim</x:v>
      </x:c>
      <x:c r="I19" s="43" t="str">
        <x:v>TR-2025Q4</x:v>
      </x:c>
      <x:c r="J19" s="44" t="str">
        <x:v>https://investors.datadoghq.com/static-files/71a1a6e1-3028-48a3-90f3-7662b76604e2</x:v>
      </x:c>
      <x:c r="K19" s="43" t="str">
        <x:v>rounded lower bound</x:v>
      </x:c>
    </x:row>
    <x:row r="20">
      <x:c r="A20" s="15" t="str">
        <x:v>2025Q4</x:v>
      </x:c>
      <x:c r="B20" s="15" t="str">
        <x:v>Product ARR</x:v>
      </x:c>
      <x:c r="C20" s="43" t="str">
        <x:v>Log Management</x:v>
      </x:c>
      <x:c r="D20" s="49" t="n">
        <x:v>1000</x:v>
      </x:c>
      <x:c r="E20" s="49"/>
      <x:c r="F20" s="15" t="str">
        <x:v>$mm ARR</x:v>
      </x:c>
      <x:c r="G20" s="15" t="str">
        <x:v>&gt;</x:v>
      </x:c>
      <x:c r="H20" s="43" t="str">
        <x:v>issuer_management_claim</x:v>
      </x:c>
      <x:c r="I20" s="43" t="str">
        <x:v>TR-2025Q4</x:v>
      </x:c>
      <x:c r="J20" s="44" t="str">
        <x:v>https://investors.datadoghq.com/static-files/71a1a6e1-3028-48a3-90f3-7662b76604e2</x:v>
      </x:c>
      <x:c r="K20" s="43" t="str">
        <x:v>rounded lower bound</x:v>
      </x:c>
    </x:row>
    <x:row r="21">
      <x:c r="A21" s="15" t="str">
        <x:v>2025Q4</x:v>
      </x:c>
      <x:c r="B21" s="15" t="str">
        <x:v>Combined ARR</x:v>
      </x:c>
      <x:c r="C21" s="43" t="str">
        <x:v>End-to-end APM + Digital Experience Monitoring</x:v>
      </x:c>
      <x:c r="D21" s="49" t="n">
        <x:v>1000</x:v>
      </x:c>
      <x:c r="E21" s="49"/>
      <x:c r="F21" s="15" t="str">
        <x:v>$mm ARR</x:v>
      </x:c>
      <x:c r="G21" s="15" t="str">
        <x:v>&gt;</x:v>
      </x:c>
      <x:c r="H21" s="43" t="str">
        <x:v>issuer_management_claim</x:v>
      </x:c>
      <x:c r="I21" s="43" t="str">
        <x:v>TR-2025Q4</x:v>
      </x:c>
      <x:c r="J21" s="44" t="str">
        <x:v>https://investors.datadoghq.com/static-files/71a1a6e1-3028-48a3-90f3-7662b76604e2</x:v>
      </x:c>
      <x:c r="K21" s="43" t="str">
        <x:v>scope differs from 2024 APM disclosure</x:v>
      </x:c>
    </x:row>
    <x:row r="22">
      <x:c r="A22" s="15" t="str">
        <x:v>2025Q4</x:v>
      </x:c>
      <x:c r="B22" s="15" t="str">
        <x:v>Product ARR</x:v>
      </x:c>
      <x:c r="C22" s="43" t="str">
        <x:v>Flex Logs</x:v>
      </x:c>
      <x:c r="D22" s="49" t="n">
        <x:v>100</x:v>
      </x:c>
      <x:c r="E22" s="49"/>
      <x:c r="F22" s="15" t="str">
        <x:v>$mm ARR</x:v>
      </x:c>
      <x:c r="G22" s="15" t="str">
        <x:v>~</x:v>
      </x:c>
      <x:c r="H22" s="43" t="str">
        <x:v>issuer_management_claim</x:v>
      </x:c>
      <x:c r="I22" s="43" t="str">
        <x:v>TR-2025Q4</x:v>
      </x:c>
      <x:c r="J22" s="44" t="str">
        <x:v>https://investors.datadoghq.com/static-files/71a1a6e1-3028-48a3-90f3-7662b76604e2</x:v>
      </x:c>
      <x:c r="K22" s="43" t="str">
        <x:v>nearing $100m</x:v>
      </x:c>
    </x:row>
    <x:row r="23">
      <x:c r="A23" s="15" t="str">
        <x:v>2025Q4</x:v>
      </x:c>
      <x:c r="B23" s="15" t="str">
        <x:v>Customers</x:v>
      </x:c>
      <x:c r="C23" s="43" t="str">
        <x:v>LLM Observability</x:v>
      </x:c>
      <x:c r="D23" s="49" t="n">
        <x:v>1000</x:v>
      </x:c>
      <x:c r="E23" s="49"/>
      <x:c r="F23" s="15" t="str">
        <x:v>customers</x:v>
      </x:c>
      <x:c r="G23" s="15" t="str">
        <x:v>&gt;</x:v>
      </x:c>
      <x:c r="H23" s="43" t="str">
        <x:v>issuer_management_claim</x:v>
      </x:c>
      <x:c r="I23" s="43" t="str">
        <x:v>TR-2025Q4</x:v>
      </x:c>
      <x:c r="J23" s="44" t="str">
        <x:v>https://investors.datadoghq.com/static-files/71a1a6e1-3028-48a3-90f3-7662b76604e2</x:v>
      </x:c>
      <x:c r="K23" s="43" t="str">
        <x:v>not revenue</x:v>
      </x:c>
    </x:row>
    <x:row r="24">
      <x:c r="A24" s="15" t="str">
        <x:v>2025Q4</x:v>
      </x:c>
      <x:c r="B24" s="15" t="str">
        <x:v>Customers</x:v>
      </x:c>
      <x:c r="C24" s="43" t="str">
        <x:v>Using AI integrations</x:v>
      </x:c>
      <x:c r="D24" s="49" t="n">
        <x:v>5500</x:v>
      </x:c>
      <x:c r="E24" s="49"/>
      <x:c r="F24" s="15" t="str">
        <x:v>customers</x:v>
      </x:c>
      <x:c r="G24" s="15" t="str">
        <x:v>=</x:v>
      </x:c>
      <x:c r="H24" s="43" t="str">
        <x:v>issuer_management_claim</x:v>
      </x:c>
      <x:c r="I24" s="43" t="str">
        <x:v>TR-2025Q4</x:v>
      </x:c>
      <x:c r="J24" s="44" t="str">
        <x:v>https://investors.datadoghq.com/static-files/71a1a6e1-3028-48a3-90f3-7662b76604e2</x:v>
      </x:c>
      <x:c r="K24" s="43" t="str">
        <x:v>not revenue</x:v>
      </x:c>
    </x:row>
    <x:row r="25">
      <x:c r="A25" s="15" t="str">
        <x:v>2026Q1</x:v>
      </x:c>
      <x:c r="B25" s="15" t="str">
        <x:v>Company ARR</x:v>
      </x:c>
      <x:c r="C25" s="43" t="str">
        <x:v>All Datadog products</x:v>
      </x:c>
      <x:c r="D25" s="49" t="n">
        <x:v>4000</x:v>
      </x:c>
      <x:c r="E25" s="49"/>
      <x:c r="F25" s="15" t="str">
        <x:v>$mm ARR</x:v>
      </x:c>
      <x:c r="G25" s="15" t="str">
        <x:v>&gt;</x:v>
      </x:c>
      <x:c r="H25" s="43" t="str">
        <x:v>issuer_management_claim</x:v>
      </x:c>
      <x:c r="I25" s="43" t="str">
        <x:v>TR-2026Q1</x:v>
      </x:c>
      <x:c r="J25" s="44" t="str">
        <x:v>https://investors.datadoghq.com/static-files/b162f4b4-ae66-4fd2-bc41-92b4f9a877c9</x:v>
      </x:c>
      <x:c r="K25" s="43" t="str">
        <x:v>rounded lower bound</x:v>
      </x:c>
    </x:row>
    <x:row r="26">
      <x:c r="A26" s="15" t="str">
        <x:v>2026Q1</x:v>
      </x:c>
      <x:c r="B26" s="15" t="str">
        <x:v>Product count</x:v>
      </x:c>
      <x:c r="C26" s="43" t="str">
        <x:v>Products above $100m ARR</x:v>
      </x:c>
      <x:c r="D26" s="49" t="n">
        <x:v>5</x:v>
      </x:c>
      <x:c r="E26" s="49"/>
      <x:c r="F26" s="15" t="str">
        <x:v>products</x:v>
      </x:c>
      <x:c r="G26" s="15" t="str">
        <x:v>=</x:v>
      </x:c>
      <x:c r="H26" s="43" t="str">
        <x:v>issuer_management_claim</x:v>
      </x:c>
      <x:c r="I26" s="43" t="str">
        <x:v>TR-2026Q1</x:v>
      </x:c>
      <x:c r="J26" s="44" t="str">
        <x:v>https://investors.datadoghq.com/static-files/b162f4b4-ae66-4fd2-bc41-92b4f9a877c9</x:v>
      </x:c>
      <x:c r="K26" s="43" t="str">
        <x:v>products not individually named</x:v>
      </x:c>
    </x:row>
    <x:row r="27">
      <x:c r="A27" s="15" t="str">
        <x:v>2026Q1</x:v>
      </x:c>
      <x:c r="B27" s="15" t="str">
        <x:v>Product count</x:v>
      </x:c>
      <x:c r="C27" s="43" t="str">
        <x:v>Products with $50–100m ARR</x:v>
      </x:c>
      <x:c r="D27" s="49" t="n">
        <x:v>3</x:v>
      </x:c>
      <x:c r="E27" s="49"/>
      <x:c r="F27" s="15" t="str">
        <x:v>products</x:v>
      </x:c>
      <x:c r="G27" s="15" t="str">
        <x:v>=</x:v>
      </x:c>
      <x:c r="H27" s="43" t="str">
        <x:v>issuer_management_claim</x:v>
      </x:c>
      <x:c r="I27" s="43" t="str">
        <x:v>TR-2026Q1</x:v>
      </x:c>
      <x:c r="J27" s="44" t="str">
        <x:v>https://investors.datadoghq.com/static-files/b162f4b4-ae66-4fd2-bc41-92b4f9a877c9</x:v>
      </x:c>
      <x:c r="K27" s="43" t="str">
        <x:v>products not individually named</x:v>
      </x:c>
    </x:row>
    <x:row r="28">
      <x:c r="A28" s="15" t="str">
        <x:v>2026Q1</x:v>
      </x:c>
      <x:c r="B28" s="15" t="str">
        <x:v>Customers</x:v>
      </x:c>
      <x:c r="C28" s="43" t="str">
        <x:v>Using AI integrations</x:v>
      </x:c>
      <x:c r="D28" s="49" t="n">
        <x:v>6500</x:v>
      </x:c>
      <x:c r="E28" s="49"/>
      <x:c r="F28" s="15" t="str">
        <x:v>customers</x:v>
      </x:c>
      <x:c r="G28" s="15" t="str">
        <x:v>=</x:v>
      </x:c>
      <x:c r="H28" s="43" t="str">
        <x:v>issuer_management_claim</x:v>
      </x:c>
      <x:c r="I28" s="43" t="str">
        <x:v>TR-2026Q1</x:v>
      </x:c>
      <x:c r="J28" s="44" t="str">
        <x:v>https://investors.datadoghq.com/static-files/b162f4b4-ae66-4fd2-bc41-92b4f9a877c9</x:v>
      </x:c>
      <x:c r="K28" s="43" t="str">
        <x:v>about 20% of customers</x:v>
      </x:c>
    </x:row>
    <x:row r="29">
      <x:c r="A29" s="16" t="str">
        <x:v>2026Q1</x:v>
      </x:c>
      <x:c r="B29" s="16" t="str">
        <x:v>ARR share</x:v>
      </x:c>
      <x:c r="C29" s="45" t="str">
        <x:v>Customers using AI integrations</x:v>
      </x:c>
      <x:c r="D29" s="50" t="n">
        <x:v>80</x:v>
      </x:c>
      <x:c r="E29" s="50"/>
      <x:c r="F29" s="16" t="str">
        <x:v>% ARR</x:v>
      </x:c>
      <x:c r="G29" s="16" t="str">
        <x:v>~</x:v>
      </x:c>
      <x:c r="H29" s="45" t="str">
        <x:v>issuer_management_claim</x:v>
      </x:c>
      <x:c r="I29" s="45" t="str">
        <x:v>TR-2026Q1</x:v>
      </x:c>
      <x:c r="J29" s="46" t="str">
        <x:v>https://investors.datadoghq.com/static-files/b162f4b4-ae66-4fd2-bc41-92b4f9a877c9</x:v>
      </x:c>
      <x:c r="K29" s="45" t="str">
        <x:v>customer cohort share, not AI product revenue</x:v>
      </x:c>
    </x:row>
  </x:sheetData>
  <x:mergeCells>
    <x:mergeCell ref="A1:K2"/>
    <x:mergeCell ref="A3:K3"/>
  </x:mergeCells>
  <x:pageMargins left="0.7" right="0.7" top="0.75" bottom="0.75" header="0.3" footer="0.3"/>
  <x:tableParts count="1">
    <x:tablePart xmlns:r="http://schemas.openxmlformats.org/officeDocument/2006/relationships" r:id="R67737cd4cc874ff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9.110000610351562" hidden="0" customWidth="1"/>
    <x:col min="2" max="2" width="26.110000610351562" hidden="0" customWidth="1"/>
    <x:col min="3" max="3" width="23.329999923706055" hidden="0" customWidth="1"/>
    <x:col min="4" max="4" width="11.670000076293945" hidden="0" customWidth="1"/>
    <x:col min="5" max="5" width="10.220000267028809" hidden="0" customWidth="1"/>
    <x:col min="6" max="6" width="11.109999656677246" hidden="0" customWidth="1"/>
    <x:col min="7" max="7" width="6.670000076293945" hidden="0" customWidth="1"/>
    <x:col min="8" max="8" width="13.890000343322754" hidden="0" customWidth="1"/>
    <x:col min="9" max="9" width="11.670000076293945" hidden="0" customWidth="1"/>
    <x:col min="10" max="10" width="29.440000534057617" hidden="0" customWidth="1"/>
    <x:col min="11" max="11" width="9.779999732971191" hidden="0" customWidth="1"/>
  </x:cols>
  <x:sheetData>
    <x:row r="1" ht="28" customHeight="1">
      <x:c r="A1" s="126" t="str">
        <x:v>Datadog — current public list pricing</x:v>
      </x:c>
      <x:c r="B1" s="3"/>
      <x:c r="C1" s="3"/>
      <x:c r="D1" s="3"/>
      <x:c r="E1" s="3"/>
      <x:c r="F1" s="3"/>
      <x:c r="G1" s="3"/>
      <x:c r="H1" s="3"/>
      <x:c r="I1" s="3"/>
      <x:c r="J1" s="3"/>
      <x:c r="K1" s="3"/>
    </x:row>
    <x:row r="2" ht="28" customHeight="1">
      <x:c r="A2" s="3"/>
      <x:c r="B2" s="3"/>
      <x:c r="C2" s="3"/>
      <x:c r="D2" s="3"/>
      <x:c r="E2" s="3"/>
      <x:c r="F2" s="3"/>
      <x:c r="G2" s="3"/>
      <x:c r="H2" s="3"/>
      <x:c r="I2" s="3"/>
      <x:c r="J2" s="3"/>
      <x:c r="K2" s="3"/>
    </x:row>
    <x:row r="3" ht="30" customHeight="1">
      <x:c r="A3" s="127" t="str">
        <x:v>Snapshot retrieved 2026-07-31. Pricing is current-only and cannot be treated as historical realized price, revenue, or margin. Business direction is analyst classification.</x:v>
      </x:c>
      <x:c r="B3" s="7"/>
      <x:c r="C3" s="7"/>
      <x:c r="D3" s="7"/>
      <x:c r="E3" s="7"/>
      <x:c r="F3" s="7"/>
      <x:c r="G3" s="7"/>
      <x:c r="H3" s="7"/>
      <x:c r="I3" s="7"/>
      <x:c r="J3" s="7"/>
      <x:c r="K3" s="7"/>
    </x:row>
    <x:row r="5">
      <x:c r="A5" s="12" t="str">
        <x:v>Business direction (analyst)</x:v>
      </x:c>
      <x:c r="B5" s="12" t="str">
        <x:v>Product / SKU</x:v>
      </x:c>
      <x:c r="C5" s="12" t="str">
        <x:v>Pricing unit</x:v>
      </x:c>
      <x:c r="D5" s="12" t="str">
        <x:v>Annual contract price</x:v>
      </x:c>
      <x:c r="E5" s="12" t="str">
        <x:v>Monthly price</x:v>
      </x:c>
      <x:c r="F5" s="12" t="str">
        <x:v>On-demand price</x:v>
      </x:c>
      <x:c r="G5" s="12" t="str">
        <x:v>Currency</x:v>
      </x:c>
      <x:c r="H5" s="12" t="str">
        <x:v>Evidence label</x:v>
      </x:c>
      <x:c r="I5" s="12" t="str">
        <x:v>Source ID</x:v>
      </x:c>
      <x:c r="J5" s="12" t="str">
        <x:v>Official URL</x:v>
      </x:c>
      <x:c r="K5" s="12" t="str">
        <x:v>Retrieved</x:v>
      </x:c>
    </x:row>
    <x:row r="6">
      <x:c r="A6" s="43" t="str">
        <x:v>Infrastructure &amp; Network</x:v>
      </x:c>
      <x:c r="B6" s="43" t="str">
        <x:v>Infrastructure Pro</x:v>
      </x:c>
      <x:c r="C6" s="43" t="str">
        <x:v>Per infra host, per month</x:v>
      </x:c>
      <x:c r="D6" s="51" t="n">
        <x:v>15</x:v>
      </x:c>
      <x:c r="E6" s="51" t="n">
        <x:v>18</x:v>
      </x:c>
      <x:c r="F6" s="51" t="n">
        <x:v>18</x:v>
      </x:c>
      <x:c r="G6" s="15" t="str">
        <x:v>USD</x:v>
      </x:c>
      <x:c r="H6" s="15" t="str">
        <x:v>fact + analyst taxonomy</x:v>
      </x:c>
      <x:c r="I6" s="15" t="str">
        <x:v>PRICE-20260731</x:v>
      </x:c>
      <x:c r="J6" s="27" t="str">
        <x:v>https://www.datadoghq.com/pricing/list/</x:v>
      </x:c>
      <x:c r="K6" s="17" t="n">
        <x:v>46234</x:v>
      </x:c>
    </x:row>
    <x:row r="7">
      <x:c r="A7" s="43" t="str">
        <x:v>Infrastructure &amp; Network</x:v>
      </x:c>
      <x:c r="B7" s="43" t="str">
        <x:v>Infrastructure Enterprise</x:v>
      </x:c>
      <x:c r="C7" s="43" t="str">
        <x:v>Per infra host, per month</x:v>
      </x:c>
      <x:c r="D7" s="51" t="n">
        <x:v>23</x:v>
      </x:c>
      <x:c r="E7" s="51" t="n">
        <x:v>27</x:v>
      </x:c>
      <x:c r="F7" s="51" t="n">
        <x:v>27</x:v>
      </x:c>
      <x:c r="G7" s="15" t="str">
        <x:v>USD</x:v>
      </x:c>
      <x:c r="H7" s="15" t="str">
        <x:v>fact + analyst taxonomy</x:v>
      </x:c>
      <x:c r="I7" s="15" t="str">
        <x:v>PRICE-20260731</x:v>
      </x:c>
      <x:c r="J7" s="27" t="str">
        <x:v>https://www.datadoghq.com/pricing/list/</x:v>
      </x:c>
      <x:c r="K7" s="17" t="n">
        <x:v>46234</x:v>
      </x:c>
    </x:row>
    <x:row r="8">
      <x:c r="A8" s="43" t="str">
        <x:v>Infrastructure &amp; Network</x:v>
      </x:c>
      <x:c r="B8" s="43" t="str">
        <x:v>Infrastructure DevSecOps Pro</x:v>
      </x:c>
      <x:c r="C8" s="43" t="str">
        <x:v>Per infra host, per month</x:v>
      </x:c>
      <x:c r="D8" s="51" t="n">
        <x:v>22</x:v>
      </x:c>
      <x:c r="E8" s="51" t="n">
        <x:v>27</x:v>
      </x:c>
      <x:c r="F8" s="51" t="n">
        <x:v>27</x:v>
      </x:c>
      <x:c r="G8" s="15" t="str">
        <x:v>USD</x:v>
      </x:c>
      <x:c r="H8" s="15" t="str">
        <x:v>fact + analyst taxonomy</x:v>
      </x:c>
      <x:c r="I8" s="15" t="str">
        <x:v>PRICE-20260731</x:v>
      </x:c>
      <x:c r="J8" s="27" t="str">
        <x:v>https://www.datadoghq.com/pricing/list/</x:v>
      </x:c>
      <x:c r="K8" s="17" t="n">
        <x:v>46234</x:v>
      </x:c>
    </x:row>
    <x:row r="9">
      <x:c r="A9" s="43" t="str">
        <x:v>Infrastructure &amp; Network</x:v>
      </x:c>
      <x:c r="B9" s="43" t="str">
        <x:v>Infrastructure DevSecOps Enterprise</x:v>
      </x:c>
      <x:c r="C9" s="43" t="str">
        <x:v>Per infra host, per month</x:v>
      </x:c>
      <x:c r="D9" s="51" t="n">
        <x:v>34</x:v>
      </x:c>
      <x:c r="E9" s="51" t="n">
        <x:v>41</x:v>
      </x:c>
      <x:c r="F9" s="51" t="n">
        <x:v>41</x:v>
      </x:c>
      <x:c r="G9" s="15" t="str">
        <x:v>USD</x:v>
      </x:c>
      <x:c r="H9" s="15" t="str">
        <x:v>fact + analyst taxonomy</x:v>
      </x:c>
      <x:c r="I9" s="15" t="str">
        <x:v>PRICE-20260731</x:v>
      </x:c>
      <x:c r="J9" s="27" t="str">
        <x:v>https://www.datadoghq.com/pricing/list/</x:v>
      </x:c>
      <x:c r="K9" s="17" t="n">
        <x:v>46234</x:v>
      </x:c>
    </x:row>
    <x:row r="10">
      <x:c r="A10" s="43" t="str">
        <x:v>AI / Emerging</x:v>
      </x:c>
      <x:c r="B10" s="43" t="str">
        <x:v>Container Monitoring* Per container, per month</x:v>
      </x:c>
      <x:c r="C10" s="43" t="str">
        <x:v>Per container, per month</x:v>
      </x:c>
      <x:c r="D10" s="51" t="n">
        <x:v>1</x:v>
      </x:c>
      <x:c r="E10" s="51" t="n">
        <x:v>1</x:v>
      </x:c>
      <x:c r="F10" s="51"/>
      <x:c r="G10" s="15" t="str">
        <x:v>USD</x:v>
      </x:c>
      <x:c r="H10" s="15" t="str">
        <x:v>fact + analyst taxonomy</x:v>
      </x:c>
      <x:c r="I10" s="15" t="str">
        <x:v>PRICE-20260731</x:v>
      </x:c>
      <x:c r="J10" s="27" t="str">
        <x:v>https://www.datadoghq.com/pricing/list/</x:v>
      </x:c>
      <x:c r="K10" s="17" t="n">
        <x:v>46234</x:v>
      </x:c>
    </x:row>
    <x:row r="11">
      <x:c r="A11" s="43" t="str">
        <x:v>Infrastructure &amp; Network</x:v>
      </x:c>
      <x:c r="B11" s="43" t="str">
        <x:v>Custom Metrics* **</x:v>
      </x:c>
      <x:c r="C11" s="43" t="str">
        <x:v>Per 100 custom metrics, per month</x:v>
      </x:c>
      <x:c r="D11" s="51" t="n">
        <x:v>5</x:v>
      </x:c>
      <x:c r="E11" s="51" t="n">
        <x:v>5</x:v>
      </x:c>
      <x:c r="F11" s="51" t="n">
        <x:v>5</x:v>
      </x:c>
      <x:c r="G11" s="15" t="str">
        <x:v>USD</x:v>
      </x:c>
      <x:c r="H11" s="15" t="str">
        <x:v>fact + analyst taxonomy</x:v>
      </x:c>
      <x:c r="I11" s="15" t="str">
        <x:v>PRICE-20260731</x:v>
      </x:c>
      <x:c r="J11" s="27" t="str">
        <x:v>https://www.datadoghq.com/pricing/list/</x:v>
      </x:c>
      <x:c r="K11" s="17" t="n">
        <x:v>46234</x:v>
      </x:c>
    </x:row>
    <x:row r="12">
      <x:c r="A12" s="43" t="str">
        <x:v>Infrastructure &amp; Network</x:v>
      </x:c>
      <x:c r="B12" s="43" t="str">
        <x:v>Ingested Custom Metrics*</x:v>
      </x:c>
      <x:c r="C12" s="43" t="str">
        <x:v>Per 100 ingested custom metrics, per month</x:v>
      </x:c>
      <x:c r="D12" s="51" t="n">
        <x:v>0.1</x:v>
      </x:c>
      <x:c r="E12" s="51" t="n">
        <x:v>0.1</x:v>
      </x:c>
      <x:c r="F12" s="51" t="n">
        <x:v>0.1</x:v>
      </x:c>
      <x:c r="G12" s="15" t="str">
        <x:v>USD</x:v>
      </x:c>
      <x:c r="H12" s="15" t="str">
        <x:v>fact + analyst taxonomy</x:v>
      </x:c>
      <x:c r="I12" s="15" t="str">
        <x:v>PRICE-20260731</x:v>
      </x:c>
      <x:c r="J12" s="27" t="str">
        <x:v>https://www.datadoghq.com/pricing/list/</x:v>
      </x:c>
      <x:c r="K12" s="17" t="n">
        <x:v>46234</x:v>
      </x:c>
    </x:row>
    <x:row r="13">
      <x:c r="A13" s="43" t="str">
        <x:v>Infrastructure &amp; Network</x:v>
      </x:c>
      <x:c r="B13" s="43" t="str">
        <x:v>Custom Events*</x:v>
      </x:c>
      <x:c r="C13" s="43" t="str">
        <x:v>Per 100K custom events, per month</x:v>
      </x:c>
      <x:c r="D13" s="51" t="n">
        <x:v>2</x:v>
      </x:c>
      <x:c r="E13" s="51" t="n">
        <x:v>2.4</x:v>
      </x:c>
      <x:c r="F13" s="51" t="n">
        <x:v>3</x:v>
      </x:c>
      <x:c r="G13" s="15" t="str">
        <x:v>USD</x:v>
      </x:c>
      <x:c r="H13" s="15" t="str">
        <x:v>fact + analyst taxonomy</x:v>
      </x:c>
      <x:c r="I13" s="15" t="str">
        <x:v>PRICE-20260731</x:v>
      </x:c>
      <x:c r="J13" s="27" t="str">
        <x:v>https://www.datadoghq.com/pricing/list/</x:v>
      </x:c>
      <x:c r="K13" s="17" t="n">
        <x:v>46234</x:v>
      </x:c>
    </x:row>
    <x:row r="14">
      <x:c r="A14" s="43" t="str">
        <x:v>Infrastructure &amp; Network</x:v>
      </x:c>
      <x:c r="B14" s="43" t="str">
        <x:v>Network Path</x:v>
      </x:c>
      <x:c r="C14" s="43" t="str">
        <x:v>Per 1K tests, per month</x:v>
      </x:c>
      <x:c r="D14" s="51" t="n">
        <x:v>5</x:v>
      </x:c>
      <x:c r="E14" s="51" t="n">
        <x:v>6</x:v>
      </x:c>
      <x:c r="F14" s="51" t="n">
        <x:v>7.2</x:v>
      </x:c>
      <x:c r="G14" s="15" t="str">
        <x:v>USD</x:v>
      </x:c>
      <x:c r="H14" s="15" t="str">
        <x:v>fact + analyst taxonomy</x:v>
      </x:c>
      <x:c r="I14" s="15" t="str">
        <x:v>PRICE-20260731</x:v>
      </x:c>
      <x:c r="J14" s="27" t="str">
        <x:v>https://www.datadoghq.com/pricing/list/</x:v>
      </x:c>
      <x:c r="K14" s="17" t="n">
        <x:v>46234</x:v>
      </x:c>
    </x:row>
    <x:row r="15">
      <x:c r="A15" s="43" t="str">
        <x:v>Infrastructure &amp; Network</x:v>
      </x:c>
      <x:c r="B15" s="43" t="str">
        <x:v>Cloud Network Monitoring</x:v>
      </x:c>
      <x:c r="C15" s="43" t="str">
        <x:v>Per network host, per month</x:v>
      </x:c>
      <x:c r="D15" s="51" t="n">
        <x:v>5</x:v>
      </x:c>
      <x:c r="E15" s="51" t="n">
        <x:v>6</x:v>
      </x:c>
      <x:c r="F15" s="51" t="n">
        <x:v>7.2</x:v>
      </x:c>
      <x:c r="G15" s="15" t="str">
        <x:v>USD</x:v>
      </x:c>
      <x:c r="H15" s="15" t="str">
        <x:v>fact + analyst taxonomy</x:v>
      </x:c>
      <x:c r="I15" s="15" t="str">
        <x:v>PRICE-20260731</x:v>
      </x:c>
      <x:c r="J15" s="27" t="str">
        <x:v>https://www.datadoghq.com/pricing/list/</x:v>
      </x:c>
      <x:c r="K15" s="17" t="n">
        <x:v>46234</x:v>
      </x:c>
    </x:row>
    <x:row r="16">
      <x:c r="A16" s="43" t="str">
        <x:v>Infrastructure &amp; Network</x:v>
      </x:c>
      <x:c r="B16" s="43" t="str">
        <x:v>Network Device Monitoring</x:v>
      </x:c>
      <x:c r="C16" s="43" t="str">
        <x:v>Per network device, per month</x:v>
      </x:c>
      <x:c r="D16" s="51" t="n">
        <x:v>7</x:v>
      </x:c>
      <x:c r="E16" s="51" t="n">
        <x:v>8.5</x:v>
      </x:c>
      <x:c r="F16" s="51" t="n">
        <x:v>10.2</x:v>
      </x:c>
      <x:c r="G16" s="15" t="str">
        <x:v>USD</x:v>
      </x:c>
      <x:c r="H16" s="15" t="str">
        <x:v>fact + analyst taxonomy</x:v>
      </x:c>
      <x:c r="I16" s="15" t="str">
        <x:v>PRICE-20260731</x:v>
      </x:c>
      <x:c r="J16" s="27" t="str">
        <x:v>https://www.datadoghq.com/pricing/list/</x:v>
      </x:c>
      <x:c r="K16" s="17" t="n">
        <x:v>46234</x:v>
      </x:c>
    </x:row>
    <x:row r="17">
      <x:c r="A17" s="43" t="str">
        <x:v>Infrastructure &amp; Network</x:v>
      </x:c>
      <x:c r="B17" s="43" t="str">
        <x:v>Wireless Access Point Monitoring</x:v>
      </x:c>
      <x:c r="C17" s="43" t="str">
        <x:v>Per device, per month</x:v>
      </x:c>
      <x:c r="D17" s="51" t="n">
        <x:v>4</x:v>
      </x:c>
      <x:c r="E17" s="51" t="n">
        <x:v>4.8</x:v>
      </x:c>
      <x:c r="F17" s="51" t="n">
        <x:v>5.76</x:v>
      </x:c>
      <x:c r="G17" s="15" t="str">
        <x:v>USD</x:v>
      </x:c>
      <x:c r="H17" s="15" t="str">
        <x:v>fact + analyst taxonomy</x:v>
      </x:c>
      <x:c r="I17" s="15" t="str">
        <x:v>PRICE-20260731</x:v>
      </x:c>
      <x:c r="J17" s="27" t="str">
        <x:v>https://www.datadoghq.com/pricing/list/</x:v>
      </x:c>
      <x:c r="K17" s="17" t="n">
        <x:v>46234</x:v>
      </x:c>
    </x:row>
    <x:row r="18">
      <x:c r="A18" s="43" t="str">
        <x:v>Infrastructure &amp; Network</x:v>
      </x:c>
      <x:c r="B18" s="43" t="str">
        <x:v>NetFlow Monitoring</x:v>
      </x:c>
      <x:c r="C18" s="43" t="str">
        <x:v>Per million aggregated NetFlow records (15-day retention), per month</x:v>
      </x:c>
      <x:c r="D18" s="51" t="n">
        <x:v>0.6</x:v>
      </x:c>
      <x:c r="E18" s="51" t="n">
        <x:v>0.72</x:v>
      </x:c>
      <x:c r="F18" s="51" t="n">
        <x:v>0.86</x:v>
      </x:c>
      <x:c r="G18" s="15" t="str">
        <x:v>USD</x:v>
      </x:c>
      <x:c r="H18" s="15" t="str">
        <x:v>fact + analyst taxonomy</x:v>
      </x:c>
      <x:c r="I18" s="15" t="str">
        <x:v>PRICE-20260731</x:v>
      </x:c>
      <x:c r="J18" s="27" t="str">
        <x:v>https://www.datadoghq.com/pricing/list/</x:v>
      </x:c>
      <x:c r="K18" s="17" t="n">
        <x:v>46234</x:v>
      </x:c>
    </x:row>
    <x:row r="19">
      <x:c r="A19" s="43" t="str">
        <x:v>Infrastructure &amp; Network</x:v>
      </x:c>
      <x:c r="B19" s="43" t="str">
        <x:v>NetFlow Monitoring</x:v>
      </x:c>
      <x:c r="C19" s="43" t="str">
        <x:v>Per million aggregated NetFlow records (30-day retention), per month</x:v>
      </x:c>
      <x:c r="D19" s="51" t="n">
        <x:v>0.65</x:v>
      </x:c>
      <x:c r="E19" s="51" t="n">
        <x:v>0.78</x:v>
      </x:c>
      <x:c r="F19" s="51" t="n">
        <x:v>0.94</x:v>
      </x:c>
      <x:c r="G19" s="15" t="str">
        <x:v>USD</x:v>
      </x:c>
      <x:c r="H19" s="15" t="str">
        <x:v>fact + analyst taxonomy</x:v>
      </x:c>
      <x:c r="I19" s="15" t="str">
        <x:v>PRICE-20260731</x:v>
      </x:c>
      <x:c r="J19" s="27" t="str">
        <x:v>https://www.datadoghq.com/pricing/list/</x:v>
      </x:c>
      <x:c r="K19" s="17" t="n">
        <x:v>46234</x:v>
      </x:c>
    </x:row>
    <x:row r="20">
      <x:c r="A20" s="43" t="str">
        <x:v>Infrastructure &amp; Network</x:v>
      </x:c>
      <x:c r="B20" s="43" t="str">
        <x:v>NetFlow Monitoring</x:v>
      </x:c>
      <x:c r="C20" s="43" t="str">
        <x:v>Per million aggregated NetFlow records 60-day retention), per month</x:v>
      </x:c>
      <x:c r="D20" s="51" t="n">
        <x:v>0.75</x:v>
      </x:c>
      <x:c r="E20" s="51" t="n">
        <x:v>0.9</x:v>
      </x:c>
      <x:c r="F20" s="51" t="n">
        <x:v>1.08</x:v>
      </x:c>
      <x:c r="G20" s="15" t="str">
        <x:v>USD</x:v>
      </x:c>
      <x:c r="H20" s="15" t="str">
        <x:v>fact + analyst taxonomy</x:v>
      </x:c>
      <x:c r="I20" s="15" t="str">
        <x:v>PRICE-20260731</x:v>
      </x:c>
      <x:c r="J20" s="27" t="str">
        <x:v>https://www.datadoghq.com/pricing/list/</x:v>
      </x:c>
      <x:c r="K20" s="17" t="n">
        <x:v>46234</x:v>
      </x:c>
    </x:row>
    <x:row r="21">
      <x:c r="A21" s="43" t="str">
        <x:v>Infrastructure &amp; Network</x:v>
      </x:c>
      <x:c r="B21" s="43" t="str">
        <x:v>NetFlow Monitoring</x:v>
      </x:c>
      <x:c r="C21" s="43" t="str">
        <x:v>Per million aggregated NetFlow records (90-day retention), per month</x:v>
      </x:c>
      <x:c r="D21" s="51" t="n">
        <x:v>0.85</x:v>
      </x:c>
      <x:c r="E21" s="51" t="n">
        <x:v>1.02</x:v>
      </x:c>
      <x:c r="F21" s="51" t="n">
        <x:v>1.22</x:v>
      </x:c>
      <x:c r="G21" s="15" t="str">
        <x:v>USD</x:v>
      </x:c>
      <x:c r="H21" s="15" t="str">
        <x:v>fact + analyst taxonomy</x:v>
      </x:c>
      <x:c r="I21" s="15" t="str">
        <x:v>PRICE-20260731</x:v>
      </x:c>
      <x:c r="J21" s="27" t="str">
        <x:v>https://www.datadoghq.com/pricing/list/</x:v>
      </x:c>
      <x:c r="K21" s="17" t="n">
        <x:v>46234</x:v>
      </x:c>
    </x:row>
    <x:row r="22">
      <x:c r="A22" s="43" t="str">
        <x:v>Infrastructure &amp; Network</x:v>
      </x:c>
      <x:c r="B22" s="43" t="str">
        <x:v>Serverless Workload Monitoring - Apps</x:v>
      </x:c>
      <x:c r="C22" s="43" t="str">
        <x:v>Per active application instance, per month</x:v>
      </x:c>
      <x:c r="D22" s="51" t="n">
        <x:v>3</x:v>
      </x:c>
      <x:c r="E22" s="51" t="n">
        <x:v>4</x:v>
      </x:c>
      <x:c r="F22" s="51" t="n">
        <x:v>4.32</x:v>
      </x:c>
      <x:c r="G22" s="15" t="str">
        <x:v>USD</x:v>
      </x:c>
      <x:c r="H22" s="15" t="str">
        <x:v>fact + analyst taxonomy</x:v>
      </x:c>
      <x:c r="I22" s="15" t="str">
        <x:v>PRICE-20260731</x:v>
      </x:c>
      <x:c r="J22" s="27" t="str">
        <x:v>https://www.datadoghq.com/pricing/list/</x:v>
      </x:c>
      <x:c r="K22" s="17" t="n">
        <x:v>46234</x:v>
      </x:c>
    </x:row>
    <x:row r="23">
      <x:c r="A23" s="43" t="str">
        <x:v>Infrastructure &amp; Network</x:v>
      </x:c>
      <x:c r="B23" s="43" t="str">
        <x:v>Serverless Workload Monitoring - Functions</x:v>
      </x:c>
      <x:c r="C23" s="43" t="str">
        <x:v>Per active function, per month</x:v>
      </x:c>
      <x:c r="D23" s="51" t="n">
        <x:v>5</x:v>
      </x:c>
      <x:c r="E23" s="51" t="n">
        <x:v>6</x:v>
      </x:c>
      <x:c r="F23" s="51" t="n">
        <x:v>7.2</x:v>
      </x:c>
      <x:c r="G23" s="15" t="str">
        <x:v>USD</x:v>
      </x:c>
      <x:c r="H23" s="15" t="str">
        <x:v>fact + analyst taxonomy</x:v>
      </x:c>
      <x:c r="I23" s="15" t="str">
        <x:v>PRICE-20260731</x:v>
      </x:c>
      <x:c r="J23" s="27" t="str">
        <x:v>https://www.datadoghq.com/pricing/list/</x:v>
      </x:c>
      <x:c r="K23" s="17" t="n">
        <x:v>46234</x:v>
      </x:c>
    </x:row>
    <x:row r="24">
      <x:c r="A24" s="43" t="str">
        <x:v>APM &amp; Data Observability</x:v>
      </x:c>
      <x:c r="B24" s="43" t="str">
        <x:v>Serverless Application APM</x:v>
      </x:c>
      <x:c r="C24" s="43" t="str">
        <x:v>Per actively traced application instance</x:v>
      </x:c>
      <x:c r="D24" s="51" t="n">
        <x:v>6</x:v>
      </x:c>
      <x:c r="E24" s="51" t="n">
        <x:v>7.2</x:v>
      </x:c>
      <x:c r="F24" s="51" t="n">
        <x:v>9</x:v>
      </x:c>
      <x:c r="G24" s="15" t="str">
        <x:v>USD</x:v>
      </x:c>
      <x:c r="H24" s="15" t="str">
        <x:v>fact + analyst taxonomy</x:v>
      </x:c>
      <x:c r="I24" s="15" t="str">
        <x:v>PRICE-20260731</x:v>
      </x:c>
      <x:c r="J24" s="27" t="str">
        <x:v>https://www.datadoghq.com/pricing/list/</x:v>
      </x:c>
      <x:c r="K24" s="17" t="n">
        <x:v>46234</x:v>
      </x:c>
    </x:row>
    <x:row r="25">
      <x:c r="A25" s="43" t="str">
        <x:v>APM &amp; Data Observability</x:v>
      </x:c>
      <x:c r="B25" s="43" t="str">
        <x:v>Serverless Functions APM</x:v>
      </x:c>
      <x:c r="C25" s="43" t="str">
        <x:v>Per 1M traced invocations, per month</x:v>
      </x:c>
      <x:c r="D25" s="51" t="n">
        <x:v>10</x:v>
      </x:c>
      <x:c r="E25" s="51" t="n">
        <x:v>12</x:v>
      </x:c>
      <x:c r="F25" s="51" t="n">
        <x:v>15</x:v>
      </x:c>
      <x:c r="G25" s="15" t="str">
        <x:v>USD</x:v>
      </x:c>
      <x:c r="H25" s="15" t="str">
        <x:v>fact + analyst taxonomy</x:v>
      </x:c>
      <x:c r="I25" s="15" t="str">
        <x:v>PRICE-20260731</x:v>
      </x:c>
      <x:c r="J25" s="27" t="str">
        <x:v>https://www.datadoghq.com/pricing/list/</x:v>
      </x:c>
      <x:c r="K25" s="17" t="n">
        <x:v>46234</x:v>
      </x:c>
    </x:row>
    <x:row r="26">
      <x:c r="A26" s="43" t="str">
        <x:v>Cloud Cost Management</x:v>
      </x:c>
      <x:c r="B26" s="43" t="str">
        <x:v>Cloud Cost Management Pro</x:v>
      </x:c>
      <x:c r="C26" s="43" t="str">
        <x:v>Per $1,000 in cloud/SaaS spend, per month</x:v>
      </x:c>
      <x:c r="D26" s="51" t="n">
        <x:v>5</x:v>
      </x:c>
      <x:c r="E26" s="51" t="n">
        <x:v>6</x:v>
      </x:c>
      <x:c r="F26" s="51" t="n">
        <x:v>7.2</x:v>
      </x:c>
      <x:c r="G26" s="15" t="str">
        <x:v>USD</x:v>
      </x:c>
      <x:c r="H26" s="15" t="str">
        <x:v>fact + analyst taxonomy</x:v>
      </x:c>
      <x:c r="I26" s="15" t="str">
        <x:v>PRICE-20260731</x:v>
      </x:c>
      <x:c r="J26" s="27" t="str">
        <x:v>https://www.datadoghq.com/pricing/list/</x:v>
      </x:c>
      <x:c r="K26" s="17" t="n">
        <x:v>46234</x:v>
      </x:c>
    </x:row>
    <x:row r="27">
      <x:c r="A27" s="43" t="str">
        <x:v>Cloud Cost Management</x:v>
      </x:c>
      <x:c r="B27" s="43" t="str">
        <x:v>Cloud Cost Management Enterprise</x:v>
      </x:c>
      <x:c r="C27" s="43" t="str">
        <x:v>Per $1,000 in cloud/SaaS spend, per month</x:v>
      </x:c>
      <x:c r="D27" s="51" t="n">
        <x:v>10</x:v>
      </x:c>
      <x:c r="E27" s="51" t="n">
        <x:v>12</x:v>
      </x:c>
      <x:c r="F27" s="51" t="n">
        <x:v>15</x:v>
      </x:c>
      <x:c r="G27" s="15" t="str">
        <x:v>USD</x:v>
      </x:c>
      <x:c r="H27" s="15" t="str">
        <x:v>fact + analyst taxonomy</x:v>
      </x:c>
      <x:c r="I27" s="15" t="str">
        <x:v>PRICE-20260731</x:v>
      </x:c>
      <x:c r="J27" s="27" t="str">
        <x:v>https://www.datadoghq.com/pricing/list/</x:v>
      </x:c>
      <x:c r="K27" s="17" t="n">
        <x:v>46234</x:v>
      </x:c>
    </x:row>
    <x:row r="28">
      <x:c r="A28" s="43" t="str">
        <x:v>Log Management &amp; Data Pipeline</x:v>
      </x:c>
      <x:c r="B28" s="43" t="str">
        <x:v>Logs - Ingestion</x:v>
      </x:c>
      <x:c r="C28" s="43" t="str">
        <x:v>Per ingested logs (1GB), per month</x:v>
      </x:c>
      <x:c r="D28" s="51" t="n">
        <x:v>0.1</x:v>
      </x:c>
      <x:c r="E28" s="51" t="n">
        <x:v>0.1</x:v>
      </x:c>
      <x:c r="F28" s="51" t="n">
        <x:v>0.1</x:v>
      </x:c>
      <x:c r="G28" s="15" t="str">
        <x:v>USD</x:v>
      </x:c>
      <x:c r="H28" s="15" t="str">
        <x:v>fact + analyst taxonomy</x:v>
      </x:c>
      <x:c r="I28" s="15" t="str">
        <x:v>PRICE-20260731</x:v>
      </x:c>
      <x:c r="J28" s="27" t="str">
        <x:v>https://www.datadoghq.com/pricing/list/</x:v>
      </x:c>
      <x:c r="K28" s="17" t="n">
        <x:v>46234</x:v>
      </x:c>
    </x:row>
    <x:row r="29">
      <x:c r="A29" s="43" t="str">
        <x:v>Log Management &amp; Data Pipeline</x:v>
      </x:c>
      <x:c r="B29" s="43" t="str">
        <x:v>Logs - Indexed Log Events</x:v>
      </x:c>
      <x:c r="C29" s="43" t="str">
        <x:v>Per 1M indexed logs (3-day retention), per month</x:v>
      </x:c>
      <x:c r="D29" s="51" t="n">
        <x:v>1.06</x:v>
      </x:c>
      <x:c r="E29" s="51" t="n">
        <x:v>1.27</x:v>
      </x:c>
      <x:c r="F29" s="51" t="n">
        <x:v>1.59</x:v>
      </x:c>
      <x:c r="G29" s="15" t="str">
        <x:v>USD</x:v>
      </x:c>
      <x:c r="H29" s="15" t="str">
        <x:v>fact + analyst taxonomy</x:v>
      </x:c>
      <x:c r="I29" s="15" t="str">
        <x:v>PRICE-20260731</x:v>
      </x:c>
      <x:c r="J29" s="27" t="str">
        <x:v>https://www.datadoghq.com/pricing/list/</x:v>
      </x:c>
      <x:c r="K29" s="17" t="n">
        <x:v>46234</x:v>
      </x:c>
    </x:row>
    <x:row r="30">
      <x:c r="A30" s="43" t="str">
        <x:v>Log Management &amp; Data Pipeline</x:v>
      </x:c>
      <x:c r="B30" s="43" t="str">
        <x:v>Logs - Indexed Log Events</x:v>
      </x:c>
      <x:c r="C30" s="43" t="str">
        <x:v>Per 1M indexed logs (7-day retention), per month</x:v>
      </x:c>
      <x:c r="D30" s="51" t="n">
        <x:v>1.27</x:v>
      </x:c>
      <x:c r="E30" s="51" t="n">
        <x:v>1.52</x:v>
      </x:c>
      <x:c r="F30" s="51" t="n">
        <x:v>1.91</x:v>
      </x:c>
      <x:c r="G30" s="15" t="str">
        <x:v>USD</x:v>
      </x:c>
      <x:c r="H30" s="15" t="str">
        <x:v>fact + analyst taxonomy</x:v>
      </x:c>
      <x:c r="I30" s="15" t="str">
        <x:v>PRICE-20260731</x:v>
      </x:c>
      <x:c r="J30" s="27" t="str">
        <x:v>https://www.datadoghq.com/pricing/list/</x:v>
      </x:c>
      <x:c r="K30" s="17" t="n">
        <x:v>46234</x:v>
      </x:c>
    </x:row>
    <x:row r="31">
      <x:c r="A31" s="43" t="str">
        <x:v>Log Management &amp; Data Pipeline</x:v>
      </x:c>
      <x:c r="B31" s="43" t="str">
        <x:v>Logs - Indexed Log Events</x:v>
      </x:c>
      <x:c r="C31" s="43" t="str">
        <x:v>Per 1M indexed logs (15-day retention), per month</x:v>
      </x:c>
      <x:c r="D31" s="51" t="n">
        <x:v>1.7</x:v>
      </x:c>
      <x:c r="E31" s="51" t="n">
        <x:v>2.04</x:v>
      </x:c>
      <x:c r="F31" s="51" t="n">
        <x:v>2.55</x:v>
      </x:c>
      <x:c r="G31" s="15" t="str">
        <x:v>USD</x:v>
      </x:c>
      <x:c r="H31" s="15" t="str">
        <x:v>fact + analyst taxonomy</x:v>
      </x:c>
      <x:c r="I31" s="15" t="str">
        <x:v>PRICE-20260731</x:v>
      </x:c>
      <x:c r="J31" s="27" t="str">
        <x:v>https://www.datadoghq.com/pricing/list/</x:v>
      </x:c>
      <x:c r="K31" s="17" t="n">
        <x:v>46234</x:v>
      </x:c>
    </x:row>
    <x:row r="32">
      <x:c r="A32" s="43" t="str">
        <x:v>Log Management &amp; Data Pipeline</x:v>
      </x:c>
      <x:c r="B32" s="43" t="str">
        <x:v>Logs - Indexed Log Events</x:v>
      </x:c>
      <x:c r="C32" s="43" t="str">
        <x:v>Per 1M indexed logs (30-day retention), per month</x:v>
      </x:c>
      <x:c r="D32" s="51" t="n">
        <x:v>2.5</x:v>
      </x:c>
      <x:c r="E32" s="51" t="n">
        <x:v>3</x:v>
      </x:c>
      <x:c r="F32" s="51" t="n">
        <x:v>3.75</x:v>
      </x:c>
      <x:c r="G32" s="15" t="str">
        <x:v>USD</x:v>
      </x:c>
      <x:c r="H32" s="15" t="str">
        <x:v>fact + analyst taxonomy</x:v>
      </x:c>
      <x:c r="I32" s="15" t="str">
        <x:v>PRICE-20260731</x:v>
      </x:c>
      <x:c r="J32" s="27" t="str">
        <x:v>https://www.datadoghq.com/pricing/list/</x:v>
      </x:c>
      <x:c r="K32" s="17" t="n">
        <x:v>46234</x:v>
      </x:c>
    </x:row>
    <x:row r="33">
      <x:c r="A33" s="43" t="str">
        <x:v>Log Management &amp; Data Pipeline</x:v>
      </x:c>
      <x:c r="B33" s="43" t="str">
        <x:v>Flex Logs Storage</x:v>
      </x:c>
      <x:c r="C33" s="43" t="str">
        <x:v>Per 1 M events stored, per month</x:v>
      </x:c>
      <x:c r="D33" s="51" t="n">
        <x:v>0.05</x:v>
      </x:c>
      <x:c r="E33" s="51" t="n">
        <x:v>0.06</x:v>
      </x:c>
      <x:c r="F33" s="51" t="n">
        <x:v>0.075</x:v>
      </x:c>
      <x:c r="G33" s="15" t="str">
        <x:v>USD</x:v>
      </x:c>
      <x:c r="H33" s="15" t="str">
        <x:v>fact + analyst taxonomy</x:v>
      </x:c>
      <x:c r="I33" s="15" t="str">
        <x:v>PRICE-20260731</x:v>
      </x:c>
      <x:c r="J33" s="27" t="str">
        <x:v>https://www.datadoghq.com/pricing/list/</x:v>
      </x:c>
      <x:c r="K33" s="17" t="n">
        <x:v>46234</x:v>
      </x:c>
    </x:row>
    <x:row r="34">
      <x:c r="A34" s="43" t="str">
        <x:v>Log Management &amp; Data Pipeline</x:v>
      </x:c>
      <x:c r="B34" s="43" t="str">
        <x:v>Flex Logs Starter</x:v>
      </x:c>
      <x:c r="C34" s="43" t="str">
        <x:v>Per 1 M events stored (6, 12 or 15 months retention), per month</x:v>
      </x:c>
      <x:c r="D34" s="51" t="n">
        <x:v>0.6</x:v>
      </x:c>
      <x:c r="E34" s="51" t="n">
        <x:v>0.72</x:v>
      </x:c>
      <x:c r="F34" s="51" t="n">
        <x:v>0.9</x:v>
      </x:c>
      <x:c r="G34" s="15" t="str">
        <x:v>USD</x:v>
      </x:c>
      <x:c r="H34" s="15" t="str">
        <x:v>fact + analyst taxonomy</x:v>
      </x:c>
      <x:c r="I34" s="15" t="str">
        <x:v>PRICE-20260731</x:v>
      </x:c>
      <x:c r="J34" s="27" t="str">
        <x:v>https://www.datadoghq.com/pricing/list/</x:v>
      </x:c>
      <x:c r="K34" s="17" t="n">
        <x:v>46234</x:v>
      </x:c>
    </x:row>
    <x:row r="35">
      <x:c r="A35" s="43" t="str">
        <x:v>Log Management &amp; Data Pipeline</x:v>
      </x:c>
      <x:c r="B35" s="43" t="str">
        <x:v>Logs - Forwarding to Custom Destinations</x:v>
      </x:c>
      <x:c r="C35" s="43" t="str">
        <x:v>Per GB outbound, per destination, per month</x:v>
      </x:c>
      <x:c r="D35" s="51" t="n">
        <x:v>0.25</x:v>
      </x:c>
      <x:c r="E35" s="51" t="n">
        <x:v>0.25</x:v>
      </x:c>
      <x:c r="F35" s="51" t="n">
        <x:v>0.25</x:v>
      </x:c>
      <x:c r="G35" s="15" t="str">
        <x:v>USD</x:v>
      </x:c>
      <x:c r="H35" s="15" t="str">
        <x:v>fact + analyst taxonomy</x:v>
      </x:c>
      <x:c r="I35" s="15" t="str">
        <x:v>PRICE-20260731</x:v>
      </x:c>
      <x:c r="J35" s="27" t="str">
        <x:v>https://www.datadoghq.com/pricing/list/</x:v>
      </x:c>
      <x:c r="K35" s="17" t="n">
        <x:v>46234</x:v>
      </x:c>
    </x:row>
    <x:row r="36">
      <x:c r="A36" s="43" t="str">
        <x:v>Log Management &amp; Data Pipeline</x:v>
      </x:c>
      <x:c r="B36" s="43" t="str">
        <x:v>Sensitive Data Scanner - Detect</x:v>
      </x:c>
      <x:c r="C36" s="43" t="str">
        <x:v>Per scanned GB, per month</x:v>
      </x:c>
      <x:c r="D36" s="51" t="n">
        <x:v>0.03</x:v>
      </x:c>
      <x:c r="E36" s="51" t="n">
        <x:v>0.04</x:v>
      </x:c>
      <x:c r="F36" s="51" t="n">
        <x:v>0.045</x:v>
      </x:c>
      <x:c r="G36" s="15" t="str">
        <x:v>USD</x:v>
      </x:c>
      <x:c r="H36" s="15" t="str">
        <x:v>fact + analyst taxonomy</x:v>
      </x:c>
      <x:c r="I36" s="15" t="str">
        <x:v>PRICE-20260731</x:v>
      </x:c>
      <x:c r="J36" s="27" t="str">
        <x:v>https://www.datadoghq.com/pricing/list/</x:v>
      </x:c>
      <x:c r="K36" s="17" t="n">
        <x:v>46234</x:v>
      </x:c>
    </x:row>
    <x:row r="37">
      <x:c r="A37" s="43" t="str">
        <x:v>Log Management &amp; Data Pipeline</x:v>
      </x:c>
      <x:c r="B37" s="43" t="str">
        <x:v>Sensitive Data Scanner</x:v>
      </x:c>
      <x:c r="C37" s="43" t="str">
        <x:v>Per scanned GB, per month</x:v>
      </x:c>
      <x:c r="D37" s="51" t="n">
        <x:v>0.3</x:v>
      </x:c>
      <x:c r="E37" s="51" t="n">
        <x:v>0.36</x:v>
      </x:c>
      <x:c r="F37" s="51" t="n">
        <x:v>0.45</x:v>
      </x:c>
      <x:c r="G37" s="15" t="str">
        <x:v>USD</x:v>
      </x:c>
      <x:c r="H37" s="15" t="str">
        <x:v>fact + analyst taxonomy</x:v>
      </x:c>
      <x:c r="I37" s="15" t="str">
        <x:v>PRICE-20260731</x:v>
      </x:c>
      <x:c r="J37" s="27" t="str">
        <x:v>https://www.datadoghq.com/pricing/list/</x:v>
      </x:c>
      <x:c r="K37" s="17" t="n">
        <x:v>46234</x:v>
      </x:c>
    </x:row>
    <x:row r="38">
      <x:c r="A38" s="43" t="str">
        <x:v>Log Management &amp; Data Pipeline</x:v>
      </x:c>
      <x:c r="B38" s="43" t="str">
        <x:v>Observability Pipelines</x:v>
      </x:c>
      <x:c r="C38" s="43" t="str">
        <x:v>Per ingested GB, per month</x:v>
      </x:c>
      <x:c r="D38" s="51" t="n">
        <x:v>0.095</x:v>
      </x:c>
      <x:c r="E38" s="51" t="n">
        <x:v>0.1</x:v>
      </x:c>
      <x:c r="F38" s="51" t="n">
        <x:v>0.12</x:v>
      </x:c>
      <x:c r="G38" s="15" t="str">
        <x:v>USD</x:v>
      </x:c>
      <x:c r="H38" s="15" t="str">
        <x:v>fact + analyst taxonomy</x:v>
      </x:c>
      <x:c r="I38" s="15" t="str">
        <x:v>PRICE-20260731</x:v>
      </x:c>
      <x:c r="J38" s="27" t="str">
        <x:v>https://www.datadoghq.com/pricing/list/</x:v>
      </x:c>
      <x:c r="K38" s="17" t="n">
        <x:v>46234</x:v>
      </x:c>
    </x:row>
    <x:row r="39">
      <x:c r="A39" s="43" t="str">
        <x:v>Log Management &amp; Data Pipeline</x:v>
      </x:c>
      <x:c r="B39" s="43" t="str">
        <x:v>Observability Pipelines Plus</x:v>
      </x:c>
      <x:c r="C39" s="43" t="str">
        <x:v>Per vCPU, per month</x:v>
      </x:c>
      <x:c r="D39" s="51" t="n">
        <x:v>1950</x:v>
      </x:c>
      <x:c r="E39" s="51" t="n">
        <x:v>2340</x:v>
      </x:c>
      <x:c r="F39" s="51" t="n">
        <x:v>2808</x:v>
      </x:c>
      <x:c r="G39" s="15" t="str">
        <x:v>USD</x:v>
      </x:c>
      <x:c r="H39" s="15" t="str">
        <x:v>fact + analyst taxonomy</x:v>
      </x:c>
      <x:c r="I39" s="15" t="str">
        <x:v>PRICE-20260731</x:v>
      </x:c>
      <x:c r="J39" s="27" t="str">
        <x:v>https://www.datadoghq.com/pricing/list/</x:v>
      </x:c>
      <x:c r="K39" s="17" t="n">
        <x:v>46234</x:v>
      </x:c>
    </x:row>
    <x:row r="40">
      <x:c r="A40" s="43" t="str">
        <x:v>Infrastructure &amp; Network</x:v>
      </x:c>
      <x:c r="B40" s="43" t="str">
        <x:v>Storage Management</x:v>
      </x:c>
      <x:c r="C40" s="43" t="str">
        <x:v>Per 1M objects monitored, per month</x:v>
      </x:c>
      <x:c r="D40" s="51" t="n">
        <x:v>0.35</x:v>
      </x:c>
      <x:c r="E40" s="51" t="n">
        <x:v>0.42</x:v>
      </x:c>
      <x:c r="F40" s="51" t="n">
        <x:v>0.5</x:v>
      </x:c>
      <x:c r="G40" s="15" t="str">
        <x:v>USD</x:v>
      </x:c>
      <x:c r="H40" s="15" t="str">
        <x:v>fact + analyst taxonomy</x:v>
      </x:c>
      <x:c r="I40" s="15" t="str">
        <x:v>PRICE-20260731</x:v>
      </x:c>
      <x:c r="J40" s="27" t="str">
        <x:v>https://www.datadoghq.com/pricing/list/</x:v>
      </x:c>
      <x:c r="K40" s="17" t="n">
        <x:v>46234</x:v>
      </x:c>
    </x:row>
    <x:row r="41">
      <x:c r="A41" s="43" t="str">
        <x:v>APM &amp; Data Observability</x:v>
      </x:c>
      <x:c r="B41" s="43" t="str">
        <x:v>APM</x:v>
      </x:c>
      <x:c r="C41" s="43" t="str">
        <x:v>Per APM host, per month</x:v>
      </x:c>
      <x:c r="D41" s="51" t="n">
        <x:v>31</x:v>
      </x:c>
      <x:c r="E41" s="51" t="n">
        <x:v>36</x:v>
      </x:c>
      <x:c r="F41" s="51" t="n">
        <x:v>36</x:v>
      </x:c>
      <x:c r="G41" s="15" t="str">
        <x:v>USD</x:v>
      </x:c>
      <x:c r="H41" s="15" t="str">
        <x:v>fact + analyst taxonomy</x:v>
      </x:c>
      <x:c r="I41" s="15" t="str">
        <x:v>PRICE-20260731</x:v>
      </x:c>
      <x:c r="J41" s="27" t="str">
        <x:v>https://www.datadoghq.com/pricing/list/</x:v>
      </x:c>
      <x:c r="K41" s="17" t="n">
        <x:v>46234</x:v>
      </x:c>
    </x:row>
    <x:row r="42">
      <x:c r="A42" s="43" t="str">
        <x:v>APM &amp; Data Observability</x:v>
      </x:c>
      <x:c r="B42" s="43" t="str">
        <x:v>APM Ingestion*</x:v>
      </x:c>
      <x:c r="C42" s="43" t="str">
        <x:v>Per ingested GB, per month</x:v>
      </x:c>
      <x:c r="D42" s="51" t="n">
        <x:v>0.1</x:v>
      </x:c>
      <x:c r="E42" s="51" t="n">
        <x:v>0.1</x:v>
      </x:c>
      <x:c r="F42" s="51" t="n">
        <x:v>0.1</x:v>
      </x:c>
      <x:c r="G42" s="15" t="str">
        <x:v>USD</x:v>
      </x:c>
      <x:c r="H42" s="15" t="str">
        <x:v>fact + analyst taxonomy</x:v>
      </x:c>
      <x:c r="I42" s="15" t="str">
        <x:v>PRICE-20260731</x:v>
      </x:c>
      <x:c r="J42" s="27" t="str">
        <x:v>https://www.datadoghq.com/pricing/list/</x:v>
      </x:c>
      <x:c r="K42" s="17" t="n">
        <x:v>46234</x:v>
      </x:c>
    </x:row>
    <x:row r="43">
      <x:c r="A43" s="43" t="str">
        <x:v>APM &amp; Data Observability</x:v>
      </x:c>
      <x:c r="B43" s="43" t="str">
        <x:v>APM - Indexed Spans*</x:v>
      </x:c>
      <x:c r="C43" s="43" t="str">
        <x:v>Per 1M indexed spans (7-day retention), per month</x:v>
      </x:c>
      <x:c r="D43" s="51" t="n">
        <x:v>1.27</x:v>
      </x:c>
      <x:c r="E43" s="51" t="n">
        <x:v>1.52</x:v>
      </x:c>
      <x:c r="F43" s="51" t="n">
        <x:v>1.91</x:v>
      </x:c>
      <x:c r="G43" s="15" t="str">
        <x:v>USD</x:v>
      </x:c>
      <x:c r="H43" s="15" t="str">
        <x:v>fact + analyst taxonomy</x:v>
      </x:c>
      <x:c r="I43" s="15" t="str">
        <x:v>PRICE-20260731</x:v>
      </x:c>
      <x:c r="J43" s="27" t="str">
        <x:v>https://www.datadoghq.com/pricing/list/</x:v>
      </x:c>
      <x:c r="K43" s="17" t="n">
        <x:v>46234</x:v>
      </x:c>
    </x:row>
    <x:row r="44">
      <x:c r="A44" s="43" t="str">
        <x:v>APM &amp; Data Observability</x:v>
      </x:c>
      <x:c r="B44" s="43" t="str">
        <x:v>APM - Indexed Spans*</x:v>
      </x:c>
      <x:c r="C44" s="43" t="str">
        <x:v>Per 1M indexed spans (15-day retention), per month</x:v>
      </x:c>
      <x:c r="D44" s="51" t="n">
        <x:v>1.7</x:v>
      </x:c>
      <x:c r="E44" s="51" t="n">
        <x:v>2.04</x:v>
      </x:c>
      <x:c r="F44" s="51" t="n">
        <x:v>2.55</x:v>
      </x:c>
      <x:c r="G44" s="15" t="str">
        <x:v>USD</x:v>
      </x:c>
      <x:c r="H44" s="15" t="str">
        <x:v>fact + analyst taxonomy</x:v>
      </x:c>
      <x:c r="I44" s="15" t="str">
        <x:v>PRICE-20260731</x:v>
      </x:c>
      <x:c r="J44" s="27" t="str">
        <x:v>https://www.datadoghq.com/pricing/list/</x:v>
      </x:c>
      <x:c r="K44" s="17" t="n">
        <x:v>46234</x:v>
      </x:c>
    </x:row>
    <x:row r="45">
      <x:c r="A45" s="43" t="str">
        <x:v>APM &amp; Data Observability</x:v>
      </x:c>
      <x:c r="B45" s="43" t="str">
        <x:v>APM - Indexed Spans*</x:v>
      </x:c>
      <x:c r="C45" s="43" t="str">
        <x:v>Per 1M indexed spans (30-day retention), per month</x:v>
      </x:c>
      <x:c r="D45" s="51" t="n">
        <x:v>2.5</x:v>
      </x:c>
      <x:c r="E45" s="51" t="n">
        <x:v>3</x:v>
      </x:c>
      <x:c r="F45" s="51" t="n">
        <x:v>3.75</x:v>
      </x:c>
      <x:c r="G45" s="15" t="str">
        <x:v>USD</x:v>
      </x:c>
      <x:c r="H45" s="15" t="str">
        <x:v>fact + analyst taxonomy</x:v>
      </x:c>
      <x:c r="I45" s="15" t="str">
        <x:v>PRICE-20260731</x:v>
      </x:c>
      <x:c r="J45" s="27" t="str">
        <x:v>https://www.datadoghq.com/pricing/list/</x:v>
      </x:c>
      <x:c r="K45" s="17" t="n">
        <x:v>46234</x:v>
      </x:c>
    </x:row>
    <x:row r="46">
      <x:c r="A46" s="43" t="str">
        <x:v>APM &amp; Data Observability</x:v>
      </x:c>
      <x:c r="B46" s="43" t="str">
        <x:v>APM Pro (APM and Data Streams Monitoring)</x:v>
      </x:c>
      <x:c r="C46" s="43" t="str">
        <x:v>Per APM host, per month</x:v>
      </x:c>
      <x:c r="D46" s="51" t="n">
        <x:v>35</x:v>
      </x:c>
      <x:c r="E46" s="51" t="n">
        <x:v>42</x:v>
      </x:c>
      <x:c r="F46" s="51" t="n">
        <x:v>42</x:v>
      </x:c>
      <x:c r="G46" s="15" t="str">
        <x:v>USD</x:v>
      </x:c>
      <x:c r="H46" s="15" t="str">
        <x:v>fact + analyst taxonomy</x:v>
      </x:c>
      <x:c r="I46" s="15" t="str">
        <x:v>PRICE-20260731</x:v>
      </x:c>
      <x:c r="J46" s="27" t="str">
        <x:v>https://www.datadoghq.com/pricing/list/</x:v>
      </x:c>
      <x:c r="K46" s="17" t="n">
        <x:v>46234</x:v>
      </x:c>
    </x:row>
    <x:row r="47">
      <x:c r="A47" s="43" t="str">
        <x:v>APM &amp; Data Observability</x:v>
      </x:c>
      <x:c r="B47" s="43" t="str">
        <x:v>APM Enterprise (APM, Data Streams Monitoring, Continuous Profiler)</x:v>
      </x:c>
      <x:c r="C47" s="43" t="str">
        <x:v>Per APM host, per month</x:v>
      </x:c>
      <x:c r="D47" s="51" t="n">
        <x:v>40</x:v>
      </x:c>
      <x:c r="E47" s="51" t="n">
        <x:v>48</x:v>
      </x:c>
      <x:c r="F47" s="51" t="n">
        <x:v>48</x:v>
      </x:c>
      <x:c r="G47" s="15" t="str">
        <x:v>USD</x:v>
      </x:c>
      <x:c r="H47" s="15" t="str">
        <x:v>fact + analyst taxonomy</x:v>
      </x:c>
      <x:c r="I47" s="15" t="str">
        <x:v>PRICE-20260731</x:v>
      </x:c>
      <x:c r="J47" s="27" t="str">
        <x:v>https://www.datadoghq.com/pricing/list/</x:v>
      </x:c>
      <x:c r="K47" s="17" t="n">
        <x:v>46234</x:v>
      </x:c>
    </x:row>
    <x:row r="48">
      <x:c r="A48" s="43" t="str">
        <x:v>Infrastructure &amp; Network</x:v>
      </x:c>
      <x:c r="B48" s="43" t="str">
        <x:v>Universal Service Monitoring</x:v>
      </x:c>
      <x:c r="C48" s="43" t="str">
        <x:v>Per infra host, per month</x:v>
      </x:c>
      <x:c r="D48" s="51" t="n">
        <x:v>9</x:v>
      </x:c>
      <x:c r="E48" s="51" t="n">
        <x:v>10.8</x:v>
      </x:c>
      <x:c r="F48" s="51" t="n">
        <x:v>13</x:v>
      </x:c>
      <x:c r="G48" s="15" t="str">
        <x:v>USD</x:v>
      </x:c>
      <x:c r="H48" s="15" t="str">
        <x:v>fact + analyst taxonomy</x:v>
      </x:c>
      <x:c r="I48" s="15" t="str">
        <x:v>PRICE-20260731</x:v>
      </x:c>
      <x:c r="J48" s="27" t="str">
        <x:v>https://www.datadoghq.com/pricing/list/</x:v>
      </x:c>
      <x:c r="K48" s="17" t="n">
        <x:v>46234</x:v>
      </x:c>
    </x:row>
    <x:row r="49">
      <x:c r="A49" s="43" t="str">
        <x:v>APM &amp; Data Observability</x:v>
      </x:c>
      <x:c r="B49" s="43" t="str">
        <x:v>Data Streams Monitoring</x:v>
      </x:c>
      <x:c r="C49" s="43" t="str">
        <x:v>Per host, per month</x:v>
      </x:c>
      <x:c r="D49" s="51" t="n">
        <x:v>15</x:v>
      </x:c>
      <x:c r="E49" s="51" t="n">
        <x:v>18</x:v>
      </x:c>
      <x:c r="F49" s="51" t="n">
        <x:v>18</x:v>
      </x:c>
      <x:c r="G49" s="15" t="str">
        <x:v>USD</x:v>
      </x:c>
      <x:c r="H49" s="15" t="str">
        <x:v>fact + analyst taxonomy</x:v>
      </x:c>
      <x:c r="I49" s="15" t="str">
        <x:v>PRICE-20260731</x:v>
      </x:c>
      <x:c r="J49" s="27" t="str">
        <x:v>https://www.datadoghq.com/pricing/list/</x:v>
      </x:c>
      <x:c r="K49" s="17" t="n">
        <x:v>46234</x:v>
      </x:c>
    </x:row>
    <x:row r="50">
      <x:c r="A50" s="43" t="str">
        <x:v>APM &amp; Data Observability</x:v>
      </x:c>
      <x:c r="B50" s="43" t="str">
        <x:v>Continuous Profiler</x:v>
      </x:c>
      <x:c r="C50" s="43" t="str">
        <x:v>Per profiled host, per month</x:v>
      </x:c>
      <x:c r="D50" s="51" t="n">
        <x:v>19</x:v>
      </x:c>
      <x:c r="E50" s="51" t="n">
        <x:v>23</x:v>
      </x:c>
      <x:c r="F50" s="51" t="n">
        <x:v>23</x:v>
      </x:c>
      <x:c r="G50" s="15" t="str">
        <x:v>USD</x:v>
      </x:c>
      <x:c r="H50" s="15" t="str">
        <x:v>fact + analyst taxonomy</x:v>
      </x:c>
      <x:c r="I50" s="15" t="str">
        <x:v>PRICE-20260731</x:v>
      </x:c>
      <x:c r="J50" s="27" t="str">
        <x:v>https://www.datadoghq.com/pricing/list/</x:v>
      </x:c>
      <x:c r="K50" s="17" t="n">
        <x:v>46234</x:v>
      </x:c>
    </x:row>
    <x:row r="51">
      <x:c r="A51" s="43" t="str">
        <x:v>APM &amp; Data Observability</x:v>
      </x:c>
      <x:c r="B51" s="43" t="str">
        <x:v>Fargate (Continuous Profiler)</x:v>
      </x:c>
      <x:c r="C51" s="43" t="str">
        <x:v>Per Fargate task, per month</x:v>
      </x:c>
      <x:c r="D51" s="51" t="n">
        <x:v>1.2</x:v>
      </x:c>
      <x:c r="E51" s="51" t="n">
        <x:v>1.4</x:v>
      </x:c>
      <x:c r="F51" s="51" t="n">
        <x:v>1.7</x:v>
      </x:c>
      <x:c r="G51" s="15" t="str">
        <x:v>USD</x:v>
      </x:c>
      <x:c r="H51" s="15" t="str">
        <x:v>fact + analyst taxonomy</x:v>
      </x:c>
      <x:c r="I51" s="15" t="str">
        <x:v>PRICE-20260731</x:v>
      </x:c>
      <x:c r="J51" s="27" t="str">
        <x:v>https://www.datadoghq.com/pricing/list/</x:v>
      </x:c>
      <x:c r="K51" s="17" t="n">
        <x:v>46234</x:v>
      </x:c>
    </x:row>
    <x:row r="52">
      <x:c r="A52" s="43" t="str">
        <x:v>APM &amp; Data Observability</x:v>
      </x:c>
      <x:c r="B52" s="43" t="str">
        <x:v>Continuous Profiler - Containers* Per profiled container, per month</x:v>
      </x:c>
      <x:c r="C52" s="43" t="str">
        <x:v>Per profiled container, per month</x:v>
      </x:c>
      <x:c r="D52" s="51" t="n">
        <x:v>2</x:v>
      </x:c>
      <x:c r="E52" s="51" t="n">
        <x:v>2</x:v>
      </x:c>
      <x:c r="F52" s="51"/>
      <x:c r="G52" s="15" t="str">
        <x:v>USD</x:v>
      </x:c>
      <x:c r="H52" s="15" t="str">
        <x:v>fact + analyst taxonomy</x:v>
      </x:c>
      <x:c r="I52" s="15" t="str">
        <x:v>PRICE-20260731</x:v>
      </x:c>
      <x:c r="J52" s="27" t="str">
        <x:v>https://www.datadoghq.com/pricing/list/</x:v>
      </x:c>
      <x:c r="K52" s="17" t="n">
        <x:v>46234</x:v>
      </x:c>
    </x:row>
    <x:row r="53">
      <x:c r="A53" s="43" t="str">
        <x:v>APM &amp; Data Observability</x:v>
      </x:c>
      <x:c r="B53" s="43" t="str">
        <x:v>Database Monitoring</x:v>
      </x:c>
      <x:c r="C53" s="43" t="str">
        <x:v>Per database host, per month</x:v>
      </x:c>
      <x:c r="D53" s="51" t="n">
        <x:v>70</x:v>
      </x:c>
      <x:c r="E53" s="51" t="n">
        <x:v>84</x:v>
      </x:c>
      <x:c r="F53" s="51" t="n">
        <x:v>84</x:v>
      </x:c>
      <x:c r="G53" s="15" t="str">
        <x:v>USD</x:v>
      </x:c>
      <x:c r="H53" s="15" t="str">
        <x:v>fact + analyst taxonomy</x:v>
      </x:c>
      <x:c r="I53" s="15" t="str">
        <x:v>PRICE-20260731</x:v>
      </x:c>
      <x:c r="J53" s="27" t="str">
        <x:v>https://www.datadoghq.com/pricing/list/</x:v>
      </x:c>
      <x:c r="K53" s="17" t="n">
        <x:v>46234</x:v>
      </x:c>
    </x:row>
    <x:row r="54">
      <x:c r="A54" s="43" t="str">
        <x:v>Infrastructure &amp; Network</x:v>
      </x:c>
      <x:c r="B54" s="43" t="str">
        <x:v>Data Observability: Jobs Monitoring (Clusters)</x:v>
      </x:c>
      <x:c r="C54" s="43" t="str">
        <x:v>Per host, per hour</x:v>
      </x:c>
      <x:c r="D54" s="51" t="n">
        <x:v>0.05</x:v>
      </x:c>
      <x:c r="E54" s="51" t="n">
        <x:v>0.06</x:v>
      </x:c>
      <x:c r="F54" s="51" t="n">
        <x:v>0.072</x:v>
      </x:c>
      <x:c r="G54" s="15" t="str">
        <x:v>USD</x:v>
      </x:c>
      <x:c r="H54" s="15" t="str">
        <x:v>fact + analyst taxonomy</x:v>
      </x:c>
      <x:c r="I54" s="15" t="str">
        <x:v>PRICE-20260731</x:v>
      </x:c>
      <x:c r="J54" s="27" t="str">
        <x:v>https://www.datadoghq.com/pricing/list/</x:v>
      </x:c>
      <x:c r="K54" s="17" t="n">
        <x:v>46234</x:v>
      </x:c>
    </x:row>
    <x:row r="55">
      <x:c r="A55" s="43" t="str">
        <x:v>Infrastructure &amp; Network</x:v>
      </x:c>
      <x:c r="B55" s="43" t="str">
        <x:v>Data Observability: Jobs Monitoring (Orchestrators)</x:v>
      </x:c>
      <x:c r="C55" s="43" t="str">
        <x:v>Per job, per hour</x:v>
      </x:c>
      <x:c r="D55" s="51" t="n">
        <x:v>0.1</x:v>
      </x:c>
      <x:c r="E55" s="51" t="n">
        <x:v>0.12</x:v>
      </x:c>
      <x:c r="F55" s="51" t="n">
        <x:v>0.144</x:v>
      </x:c>
      <x:c r="G55" s="15" t="str">
        <x:v>USD</x:v>
      </x:c>
      <x:c r="H55" s="15" t="str">
        <x:v>fact + analyst taxonomy</x:v>
      </x:c>
      <x:c r="I55" s="15" t="str">
        <x:v>PRICE-20260731</x:v>
      </x:c>
      <x:c r="J55" s="27" t="str">
        <x:v>https://www.datadoghq.com/pricing/list/</x:v>
      </x:c>
      <x:c r="K55" s="17" t="n">
        <x:v>46234</x:v>
      </x:c>
    </x:row>
    <x:row r="56">
      <x:c r="A56" s="43" t="str">
        <x:v>Software Delivery</x:v>
      </x:c>
      <x:c r="B56" s="43" t="str">
        <x:v>Data Observability: Quality Monitoring</x:v>
      </x:c>
      <x:c r="C56" s="43" t="str">
        <x:v>Per monitored table, per month</x:v>
      </x:c>
      <x:c r="D56" s="51" t="n">
        <x:v>16</x:v>
      </x:c>
      <x:c r="E56" s="51" t="n">
        <x:v>21</x:v>
      </x:c>
      <x:c r="F56" s="51" t="n">
        <x:v>24</x:v>
      </x:c>
      <x:c r="G56" s="15" t="str">
        <x:v>USD</x:v>
      </x:c>
      <x:c r="H56" s="15" t="str">
        <x:v>fact + analyst taxonomy</x:v>
      </x:c>
      <x:c r="I56" s="15" t="str">
        <x:v>PRICE-20260731</x:v>
      </x:c>
      <x:c r="J56" s="27" t="str">
        <x:v>https://www.datadoghq.com/pricing/list/</x:v>
      </x:c>
      <x:c r="K56" s="17" t="n">
        <x:v>46234</x:v>
      </x:c>
    </x:row>
    <x:row r="57">
      <x:c r="A57" s="43" t="str">
        <x:v>Infrastructure &amp; Network</x:v>
      </x:c>
      <x:c r="B57" s="43" t="str">
        <x:v>Pipeline Visibility</x:v>
      </x:c>
      <x:c r="C57" s="43" t="str">
        <x:v>Per active Git committer (3 times per month), per month</x:v>
      </x:c>
      <x:c r="D57" s="51" t="n">
        <x:v>8</x:v>
      </x:c>
      <x:c r="E57" s="51" t="n">
        <x:v>9.6</x:v>
      </x:c>
      <x:c r="F57" s="51" t="n">
        <x:v>12</x:v>
      </x:c>
      <x:c r="G57" s="15" t="str">
        <x:v>USD</x:v>
      </x:c>
      <x:c r="H57" s="15" t="str">
        <x:v>fact + analyst taxonomy</x:v>
      </x:c>
      <x:c r="I57" s="15" t="str">
        <x:v>PRICE-20260731</x:v>
      </x:c>
      <x:c r="J57" s="27" t="str">
        <x:v>https://www.datadoghq.com/pricing/list/</x:v>
      </x:c>
      <x:c r="K57" s="17" t="n">
        <x:v>46234</x:v>
      </x:c>
    </x:row>
    <x:row r="58">
      <x:c r="A58" s="43" t="str">
        <x:v>Software Delivery</x:v>
      </x:c>
      <x:c r="B58" s="43" t="str">
        <x:v>Test Optimization</x:v>
      </x:c>
      <x:c r="C58" s="43" t="str">
        <x:v>Per active Git committer (3 times per month), per month</x:v>
      </x:c>
      <x:c r="D58" s="51" t="n">
        <x:v>20</x:v>
      </x:c>
      <x:c r="E58" s="51" t="n">
        <x:v>24</x:v>
      </x:c>
      <x:c r="F58" s="51" t="n">
        <x:v>29</x:v>
      </x:c>
      <x:c r="G58" s="15" t="str">
        <x:v>USD</x:v>
      </x:c>
      <x:c r="H58" s="15" t="str">
        <x:v>fact + analyst taxonomy</x:v>
      </x:c>
      <x:c r="I58" s="15" t="str">
        <x:v>PRICE-20260731</x:v>
      </x:c>
      <x:c r="J58" s="27" t="str">
        <x:v>https://www.datadoghq.com/pricing/list/</x:v>
      </x:c>
      <x:c r="K58" s="17" t="n">
        <x:v>46234</x:v>
      </x:c>
    </x:row>
    <x:row r="59">
      <x:c r="A59" s="43" t="str">
        <x:v>Infrastructure &amp; Network</x:v>
      </x:c>
      <x:c r="B59" s="43" t="str">
        <x:v>Code Coverage</x:v>
      </x:c>
      <x:c r="C59" s="43" t="str">
        <x:v>Per active Git committer (3 times per month), per month</x:v>
      </x:c>
      <x:c r="D59" s="51" t="n">
        <x:v>8</x:v>
      </x:c>
      <x:c r="E59" s="51" t="n">
        <x:v>9.6</x:v>
      </x:c>
      <x:c r="F59" s="51" t="n">
        <x:v>12</x:v>
      </x:c>
      <x:c r="G59" s="15" t="str">
        <x:v>USD</x:v>
      </x:c>
      <x:c r="H59" s="15" t="str">
        <x:v>fact + analyst taxonomy</x:v>
      </x:c>
      <x:c r="I59" s="15" t="str">
        <x:v>PRICE-20260731</x:v>
      </x:c>
      <x:c r="J59" s="27" t="str">
        <x:v>https://www.datadoghq.com/pricing/list/</x:v>
      </x:c>
      <x:c r="K59" s="17" t="n">
        <x:v>46234</x:v>
      </x:c>
    </x:row>
    <x:row r="60">
      <x:c r="A60" s="43" t="str">
        <x:v>Security</x:v>
      </x:c>
      <x:c r="B60" s="43" t="str">
        <x:v>Cloud Security Management (CSM) Pro</x:v>
      </x:c>
      <x:c r="C60" s="43" t="str">
        <x:v>Per CSM host, per month</x:v>
      </x:c>
      <x:c r="D60" s="51" t="n">
        <x:v>10</x:v>
      </x:c>
      <x:c r="E60" s="51" t="n">
        <x:v>12</x:v>
      </x:c>
      <x:c r="F60" s="51" t="n">
        <x:v>12</x:v>
      </x:c>
      <x:c r="G60" s="15" t="str">
        <x:v>USD</x:v>
      </x:c>
      <x:c r="H60" s="15" t="str">
        <x:v>fact + analyst taxonomy</x:v>
      </x:c>
      <x:c r="I60" s="15" t="str">
        <x:v>PRICE-20260731</x:v>
      </x:c>
      <x:c r="J60" s="27" t="str">
        <x:v>https://www.datadoghq.com/pricing/list/</x:v>
      </x:c>
      <x:c r="K60" s="17" t="n">
        <x:v>46234</x:v>
      </x:c>
    </x:row>
    <x:row r="61">
      <x:c r="A61" s="43" t="str">
        <x:v>Security</x:v>
      </x:c>
      <x:c r="B61" s="43" t="str">
        <x:v>Cloud Security Management (CSM) Pro Containers* Per container, per month</x:v>
      </x:c>
      <x:c r="C61" s="43" t="str">
        <x:v>Per container, per month</x:v>
      </x:c>
      <x:c r="D61" s="51"/>
      <x:c r="E61" s="51"/>
      <x:c r="F61" s="51"/>
      <x:c r="G61" s="15" t="str">
        <x:v>USD</x:v>
      </x:c>
      <x:c r="H61" s="15" t="str">
        <x:v>fact + analyst taxonomy</x:v>
      </x:c>
      <x:c r="I61" s="15" t="str">
        <x:v>PRICE-20260731</x:v>
      </x:c>
      <x:c r="J61" s="27" t="str">
        <x:v>https://www.datadoghq.com/pricing/list/</x:v>
      </x:c>
      <x:c r="K61" s="17" t="n">
        <x:v>46234</x:v>
      </x:c>
    </x:row>
    <x:row r="62">
      <x:c r="A62" s="43" t="str">
        <x:v>Security</x:v>
      </x:c>
      <x:c r="B62" s="43" t="str">
        <x:v>Cloud Security Management (CSM) Enterprise</x:v>
      </x:c>
      <x:c r="C62" s="43" t="str">
        <x:v>Per CSM host, per month</x:v>
      </x:c>
      <x:c r="D62" s="51" t="n">
        <x:v>25</x:v>
      </x:c>
      <x:c r="E62" s="51" t="n">
        <x:v>30</x:v>
      </x:c>
      <x:c r="F62" s="51" t="n">
        <x:v>30</x:v>
      </x:c>
      <x:c r="G62" s="15" t="str">
        <x:v>USD</x:v>
      </x:c>
      <x:c r="H62" s="15" t="str">
        <x:v>fact + analyst taxonomy</x:v>
      </x:c>
      <x:c r="I62" s="15" t="str">
        <x:v>PRICE-20260731</x:v>
      </x:c>
      <x:c r="J62" s="27" t="str">
        <x:v>https://www.datadoghq.com/pricing/list/</x:v>
      </x:c>
      <x:c r="K62" s="17" t="n">
        <x:v>46234</x:v>
      </x:c>
    </x:row>
    <x:row r="63">
      <x:c r="A63" s="43" t="str">
        <x:v>Security</x:v>
      </x:c>
      <x:c r="B63" s="43" t="str">
        <x:v>Cloud Security Management (CSM) Enterprise Containers* Per container, per month</x:v>
      </x:c>
      <x:c r="C63" s="43" t="str">
        <x:v>Per container, per month</x:v>
      </x:c>
      <x:c r="D63" s="51" t="n">
        <x:v>1</x:v>
      </x:c>
      <x:c r="E63" s="51" t="n">
        <x:v>1</x:v>
      </x:c>
      <x:c r="F63" s="51"/>
      <x:c r="G63" s="15" t="str">
        <x:v>USD</x:v>
      </x:c>
      <x:c r="H63" s="15" t="str">
        <x:v>fact + analyst taxonomy</x:v>
      </x:c>
      <x:c r="I63" s="15" t="str">
        <x:v>PRICE-20260731</x:v>
      </x:c>
      <x:c r="J63" s="27" t="str">
        <x:v>https://www.datadoghq.com/pricing/list/</x:v>
      </x:c>
      <x:c r="K63" s="17" t="n">
        <x:v>46234</x:v>
      </x:c>
    </x:row>
    <x:row r="64">
      <x:c r="A64" s="43" t="str">
        <x:v>Infrastructure &amp; Network</x:v>
      </x:c>
      <x:c r="B64" s="43" t="str">
        <x:v>Workload Protection</x:v>
      </x:c>
      <x:c r="C64" s="43" t="str">
        <x:v>Per Workload Protection host, per month</x:v>
      </x:c>
      <x:c r="D64" s="51" t="n">
        <x:v>15</x:v>
      </x:c>
      <x:c r="E64" s="51" t="n">
        <x:v>18</x:v>
      </x:c>
      <x:c r="F64" s="51" t="n">
        <x:v>18</x:v>
      </x:c>
      <x:c r="G64" s="15" t="str">
        <x:v>USD</x:v>
      </x:c>
      <x:c r="H64" s="15" t="str">
        <x:v>fact + analyst taxonomy</x:v>
      </x:c>
      <x:c r="I64" s="15" t="str">
        <x:v>PRICE-20260731</x:v>
      </x:c>
      <x:c r="J64" s="27" t="str">
        <x:v>https://www.datadoghq.com/pricing/list/</x:v>
      </x:c>
      <x:c r="K64" s="17" t="n">
        <x:v>46234</x:v>
      </x:c>
    </x:row>
    <x:row r="65">
      <x:c r="A65" s="43" t="str">
        <x:v>AI / Emerging</x:v>
      </x:c>
      <x:c r="B65" s="43" t="str">
        <x:v>Workload Protection Containers* Per container, per month</x:v>
      </x:c>
      <x:c r="C65" s="43" t="str">
        <x:v>Per container, per month</x:v>
      </x:c>
      <x:c r="D65" s="51" t="n">
        <x:v>1</x:v>
      </x:c>
      <x:c r="E65" s="51" t="n">
        <x:v>1</x:v>
      </x:c>
      <x:c r="F65" s="51"/>
      <x:c r="G65" s="15" t="str">
        <x:v>USD</x:v>
      </x:c>
      <x:c r="H65" s="15" t="str">
        <x:v>fact + analyst taxonomy</x:v>
      </x:c>
      <x:c r="I65" s="15" t="str">
        <x:v>PRICE-20260731</x:v>
      </x:c>
      <x:c r="J65" s="27" t="str">
        <x:v>https://www.datadoghq.com/pricing/list/</x:v>
      </x:c>
      <x:c r="K65" s="17" t="n">
        <x:v>46234</x:v>
      </x:c>
    </x:row>
    <x:row r="66">
      <x:c r="A66" s="43" t="str">
        <x:v>Infrastructure &amp; Network</x:v>
      </x:c>
      <x:c r="B66" s="43" t="str">
        <x:v>Fargate (Workload Protection)</x:v>
      </x:c>
      <x:c r="C66" s="43" t="str">
        <x:v>Per Fargate task, per month</x:v>
      </x:c>
      <x:c r="D66" s="51" t="n">
        <x:v>2.6</x:v>
      </x:c>
      <x:c r="E66" s="51" t="n">
        <x:v>3.1</x:v>
      </x:c>
      <x:c r="F66" s="51" t="n">
        <x:v>3.7</x:v>
      </x:c>
      <x:c r="G66" s="15" t="str">
        <x:v>USD</x:v>
      </x:c>
      <x:c r="H66" s="15" t="str">
        <x:v>fact + analyst taxonomy</x:v>
      </x:c>
      <x:c r="I66" s="15" t="str">
        <x:v>PRICE-20260731</x:v>
      </x:c>
      <x:c r="J66" s="27" t="str">
        <x:v>https://www.datadoghq.com/pricing/list/</x:v>
      </x:c>
      <x:c r="K66" s="17" t="n">
        <x:v>46234</x:v>
      </x:c>
    </x:row>
    <x:row r="67">
      <x:c r="A67" s="43" t="str">
        <x:v>Infrastructure &amp; Network</x:v>
      </x:c>
      <x:c r="B67" s="43" t="str">
        <x:v>App and API Protection</x:v>
      </x:c>
      <x:c r="C67" s="43" t="str">
        <x:v>Per AAP host, per month</x:v>
      </x:c>
      <x:c r="D67" s="51" t="n">
        <x:v>31</x:v>
      </x:c>
      <x:c r="E67" s="51" t="n">
        <x:v>36</x:v>
      </x:c>
      <x:c r="F67" s="51" t="n">
        <x:v>36</x:v>
      </x:c>
      <x:c r="G67" s="15" t="str">
        <x:v>USD</x:v>
      </x:c>
      <x:c r="H67" s="15" t="str">
        <x:v>fact + analyst taxonomy</x:v>
      </x:c>
      <x:c r="I67" s="15" t="str">
        <x:v>PRICE-20260731</x:v>
      </x:c>
      <x:c r="J67" s="27" t="str">
        <x:v>https://www.datadoghq.com/pricing/list/</x:v>
      </x:c>
      <x:c r="K67" s="17" t="n">
        <x:v>46234</x:v>
      </x:c>
    </x:row>
    <x:row r="68">
      <x:c r="A68" s="43" t="str">
        <x:v>Infrastructure &amp; Network</x:v>
      </x:c>
      <x:c r="B68" s="43" t="str">
        <x:v>Fargate (App and API Protection)</x:v>
      </x:c>
      <x:c r="C68" s="43" t="str">
        <x:v>Per Fargate task, per month</x:v>
      </x:c>
      <x:c r="D68" s="51" t="n">
        <x:v>2</x:v>
      </x:c>
      <x:c r="E68" s="51" t="n">
        <x:v>2.4</x:v>
      </x:c>
      <x:c r="F68" s="51" t="n">
        <x:v>2.9</x:v>
      </x:c>
      <x:c r="G68" s="15" t="str">
        <x:v>USD</x:v>
      </x:c>
      <x:c r="H68" s="15" t="str">
        <x:v>fact + analyst taxonomy</x:v>
      </x:c>
      <x:c r="I68" s="15" t="str">
        <x:v>PRICE-20260731</x:v>
      </x:c>
      <x:c r="J68" s="27" t="str">
        <x:v>https://www.datadoghq.com/pricing/list/</x:v>
      </x:c>
      <x:c r="K68" s="17" t="n">
        <x:v>46234</x:v>
      </x:c>
    </x:row>
    <x:row r="69">
      <x:c r="A69" s="43" t="str">
        <x:v>Infrastructure &amp; Network</x:v>
      </x:c>
      <x:c r="B69" s="43" t="str">
        <x:v>Serverless App and API Protection</x:v>
      </x:c>
      <x:c r="C69" s="43" t="str">
        <x:v>Per 1M traced invocations, per month</x:v>
      </x:c>
      <x:c r="D69" s="51" t="n">
        <x:v>10</x:v>
      </x:c>
      <x:c r="E69" s="51" t="n">
        <x:v>12</x:v>
      </x:c>
      <x:c r="F69" s="51" t="n">
        <x:v>15</x:v>
      </x:c>
      <x:c r="G69" s="15" t="str">
        <x:v>USD</x:v>
      </x:c>
      <x:c r="H69" s="15" t="str">
        <x:v>fact + analyst taxonomy</x:v>
      </x:c>
      <x:c r="I69" s="15" t="str">
        <x:v>PRICE-20260731</x:v>
      </x:c>
      <x:c r="J69" s="27" t="str">
        <x:v>https://www.datadoghq.com/pricing/list/</x:v>
      </x:c>
      <x:c r="K69" s="17" t="n">
        <x:v>46234</x:v>
      </x:c>
    </x:row>
    <x:row r="70">
      <x:c r="A70" s="43" t="str">
        <x:v>Security</x:v>
      </x:c>
      <x:c r="B70" s="43" t="str">
        <x:v>Cloud SIEM</x:v>
      </x:c>
      <x:c r="C70" s="43" t="str">
        <x:v>Per 1M analyzed events, per month</x:v>
      </x:c>
      <x:c r="D70" s="51" t="n">
        <x:v>5</x:v>
      </x:c>
      <x:c r="E70" s="51" t="n">
        <x:v>6</x:v>
      </x:c>
      <x:c r="F70" s="51" t="n">
        <x:v>7.5</x:v>
      </x:c>
      <x:c r="G70" s="15" t="str">
        <x:v>USD</x:v>
      </x:c>
      <x:c r="H70" s="15" t="str">
        <x:v>fact + analyst taxonomy</x:v>
      </x:c>
      <x:c r="I70" s="15" t="str">
        <x:v>PRICE-20260731</x:v>
      </x:c>
      <x:c r="J70" s="27" t="str">
        <x:v>https://www.datadoghq.com/pricing/list/</x:v>
      </x:c>
      <x:c r="K70" s="17" t="n">
        <x:v>46234</x:v>
      </x:c>
    </x:row>
    <x:row r="71">
      <x:c r="A71" s="43" t="str">
        <x:v>Infrastructure &amp; Network</x:v>
      </x:c>
      <x:c r="B71" s="43" t="str">
        <x:v>Runtime Software Composition Analysis</x:v>
      </x:c>
      <x:c r="C71" s="43" t="str">
        <x:v>Per host, per month</x:v>
      </x:c>
      <x:c r="D71" s="51" t="n">
        <x:v>10</x:v>
      </x:c>
      <x:c r="E71" s="51" t="n">
        <x:v>12</x:v>
      </x:c>
      <x:c r="F71" s="51" t="n">
        <x:v>15</x:v>
      </x:c>
      <x:c r="G71" s="15" t="str">
        <x:v>USD</x:v>
      </x:c>
      <x:c r="H71" s="15" t="str">
        <x:v>fact + analyst taxonomy</x:v>
      </x:c>
      <x:c r="I71" s="15" t="str">
        <x:v>PRICE-20260731</x:v>
      </x:c>
      <x:c r="J71" s="27" t="str">
        <x:v>https://www.datadoghq.com/pricing/list/</x:v>
      </x:c>
      <x:c r="K71" s="17" t="n">
        <x:v>46234</x:v>
      </x:c>
    </x:row>
    <x:row r="72">
      <x:c r="A72" s="43" t="str">
        <x:v>Infrastructure &amp; Network</x:v>
      </x:c>
      <x:c r="B72" s="43" t="str">
        <x:v>Static Software Composition Analysis</x:v>
      </x:c>
      <x:c r="C72" s="43" t="str">
        <x:v>Per committer, per month</x:v>
      </x:c>
      <x:c r="D72" s="51" t="n">
        <x:v>25</x:v>
      </x:c>
      <x:c r="E72" s="51" t="n">
        <x:v>30</x:v>
      </x:c>
      <x:c r="F72" s="51" t="n">
        <x:v>36</x:v>
      </x:c>
      <x:c r="G72" s="15" t="str">
        <x:v>USD</x:v>
      </x:c>
      <x:c r="H72" s="15" t="str">
        <x:v>fact + analyst taxonomy</x:v>
      </x:c>
      <x:c r="I72" s="15" t="str">
        <x:v>PRICE-20260731</x:v>
      </x:c>
      <x:c r="J72" s="27" t="str">
        <x:v>https://www.datadoghq.com/pricing/list/</x:v>
      </x:c>
      <x:c r="K72" s="17" t="n">
        <x:v>46234</x:v>
      </x:c>
    </x:row>
    <x:row r="73">
      <x:c r="A73" s="43" t="str">
        <x:v>Infrastructure &amp; Network</x:v>
      </x:c>
      <x:c r="B73" s="43" t="str">
        <x:v>Runtime Code Analysis (IAST)</x:v>
      </x:c>
      <x:c r="C73" s="43" t="str">
        <x:v>Per host, per month</x:v>
      </x:c>
      <x:c r="D73" s="51" t="n">
        <x:v>20</x:v>
      </x:c>
      <x:c r="E73" s="51" t="n">
        <x:v>24</x:v>
      </x:c>
      <x:c r="F73" s="51" t="n">
        <x:v>29</x:v>
      </x:c>
      <x:c r="G73" s="15" t="str">
        <x:v>USD</x:v>
      </x:c>
      <x:c r="H73" s="15" t="str">
        <x:v>fact + analyst taxonomy</x:v>
      </x:c>
      <x:c r="I73" s="15" t="str">
        <x:v>PRICE-20260731</x:v>
      </x:c>
      <x:c r="J73" s="27" t="str">
        <x:v>https://www.datadoghq.com/pricing/list/</x:v>
      </x:c>
      <x:c r="K73" s="17" t="n">
        <x:v>46234</x:v>
      </x:c>
    </x:row>
    <x:row r="74">
      <x:c r="A74" s="43" t="str">
        <x:v>Infrastructure &amp; Network</x:v>
      </x:c>
      <x:c r="B74" s="43" t="str">
        <x:v>Static Code Analysis (SAST)</x:v>
      </x:c>
      <x:c r="C74" s="43" t="str">
        <x:v>Per committer, per month</x:v>
      </x:c>
      <x:c r="D74" s="51" t="n">
        <x:v>25</x:v>
      </x:c>
      <x:c r="E74" s="51" t="n">
        <x:v>30</x:v>
      </x:c>
      <x:c r="F74" s="51" t="n">
        <x:v>36</x:v>
      </x:c>
      <x:c r="G74" s="15" t="str">
        <x:v>USD</x:v>
      </x:c>
      <x:c r="H74" s="15" t="str">
        <x:v>fact + analyst taxonomy</x:v>
      </x:c>
      <x:c r="I74" s="15" t="str">
        <x:v>PRICE-20260731</x:v>
      </x:c>
      <x:c r="J74" s="27" t="str">
        <x:v>https://www.datadoghq.com/pricing/list/</x:v>
      </x:c>
      <x:c r="K74" s="17" t="n">
        <x:v>46234</x:v>
      </x:c>
    </x:row>
    <x:row r="75">
      <x:c r="A75" s="43" t="str">
        <x:v>Security</x:v>
      </x:c>
      <x:c r="B75" s="43" t="str">
        <x:v>Infrastructure-as-Code (IaC) Security</x:v>
      </x:c>
      <x:c r="C75" s="43" t="str">
        <x:v>Per committer, per month</x:v>
      </x:c>
      <x:c r="D75" s="51" t="n">
        <x:v>15</x:v>
      </x:c>
      <x:c r="E75" s="51" t="n">
        <x:v>18</x:v>
      </x:c>
      <x:c r="F75" s="51" t="n">
        <x:v>22</x:v>
      </x:c>
      <x:c r="G75" s="15" t="str">
        <x:v>USD</x:v>
      </x:c>
      <x:c r="H75" s="15" t="str">
        <x:v>fact + analyst taxonomy</x:v>
      </x:c>
      <x:c r="I75" s="15" t="str">
        <x:v>PRICE-20260731</x:v>
      </x:c>
      <x:c r="J75" s="27" t="str">
        <x:v>https://www.datadoghq.com/pricing/list/</x:v>
      </x:c>
      <x:c r="K75" s="17" t="n">
        <x:v>46234</x:v>
      </x:c>
    </x:row>
    <x:row r="76">
      <x:c r="A76" s="43" t="str">
        <x:v>Infrastructure &amp; Network</x:v>
      </x:c>
      <x:c r="B76" s="43" t="str">
        <x:v>Secret Scanning</x:v>
      </x:c>
      <x:c r="C76" s="43" t="str">
        <x:v>Per committer, per month</x:v>
      </x:c>
      <x:c r="D76" s="51" t="n">
        <x:v>15</x:v>
      </x:c>
      <x:c r="E76" s="51" t="n">
        <x:v>18</x:v>
      </x:c>
      <x:c r="F76" s="51" t="n">
        <x:v>22</x:v>
      </x:c>
      <x:c r="G76" s="15" t="str">
        <x:v>USD</x:v>
      </x:c>
      <x:c r="H76" s="15" t="str">
        <x:v>fact + analyst taxonomy</x:v>
      </x:c>
      <x:c r="I76" s="15" t="str">
        <x:v>PRICE-20260731</x:v>
      </x:c>
      <x:c r="J76" s="27" t="str">
        <x:v>https://www.datadoghq.com/pricing/list/</x:v>
      </x:c>
      <x:c r="K76" s="17" t="n">
        <x:v>46234</x:v>
      </x:c>
    </x:row>
    <x:row r="77">
      <x:c r="A77" s="43" t="str">
        <x:v>Security</x:v>
      </x:c>
      <x:c r="B77" s="43" t="str">
        <x:v>Code Security Bundle</x:v>
      </x:c>
      <x:c r="C77" s="43" t="str">
        <x:v>Per committer, per month</x:v>
      </x:c>
      <x:c r="D77" s="51" t="n">
        <x:v>40</x:v>
      </x:c>
      <x:c r="E77" s="51" t="n">
        <x:v>48</x:v>
      </x:c>
      <x:c r="F77" s="51" t="n">
        <x:v>57.6</x:v>
      </x:c>
      <x:c r="G77" s="15" t="str">
        <x:v>USD</x:v>
      </x:c>
      <x:c r="H77" s="15" t="str">
        <x:v>fact + analyst taxonomy</x:v>
      </x:c>
      <x:c r="I77" s="15" t="str">
        <x:v>PRICE-20260731</x:v>
      </x:c>
      <x:c r="J77" s="27" t="str">
        <x:v>https://www.datadoghq.com/pricing/list/</x:v>
      </x:c>
      <x:c r="K77" s="17" t="n">
        <x:v>46234</x:v>
      </x:c>
    </x:row>
    <x:row r="78">
      <x:c r="A78" s="43" t="str">
        <x:v>Infrastructure &amp; Network</x:v>
      </x:c>
      <x:c r="B78" s="43" t="str">
        <x:v>Product Analytics</x:v>
      </x:c>
      <x:c r="C78" s="43" t="str">
        <x:v>Per 1,000 sessions, per month on full traffic</x:v>
      </x:c>
      <x:c r="D78" s="51" t="n">
        <x:v>0.8</x:v>
      </x:c>
      <x:c r="E78" s="51" t="n">
        <x:v>1</x:v>
      </x:c>
      <x:c r="F78" s="51" t="n">
        <x:v>1.2</x:v>
      </x:c>
      <x:c r="G78" s="15" t="str">
        <x:v>USD</x:v>
      </x:c>
      <x:c r="H78" s="15" t="str">
        <x:v>fact + analyst taxonomy</x:v>
      </x:c>
      <x:c r="I78" s="15" t="str">
        <x:v>PRICE-20260731</x:v>
      </x:c>
      <x:c r="J78" s="27" t="str">
        <x:v>https://www.datadoghq.com/pricing/list/</x:v>
      </x:c>
      <x:c r="K78" s="17" t="n">
        <x:v>46234</x:v>
      </x:c>
    </x:row>
    <x:row r="79">
      <x:c r="A79" s="43" t="str">
        <x:v>Digital Experience Monitoring</x:v>
      </x:c>
      <x:c r="B79" s="43" t="str">
        <x:v>Real User Monitoring (RUM) - Measure</x:v>
      </x:c>
      <x:c r="C79" s="43" t="str">
        <x:v>Per 1,000 sessions, per month on full traffic</x:v>
      </x:c>
      <x:c r="D79" s="51" t="n">
        <x:v>0.15</x:v>
      </x:c>
      <x:c r="E79" s="51" t="n">
        <x:v>0.18</x:v>
      </x:c>
      <x:c r="F79" s="51" t="n">
        <x:v>0.22</x:v>
      </x:c>
      <x:c r="G79" s="15" t="str">
        <x:v>USD</x:v>
      </x:c>
      <x:c r="H79" s="15" t="str">
        <x:v>fact + analyst taxonomy</x:v>
      </x:c>
      <x:c r="I79" s="15" t="str">
        <x:v>PRICE-20260731</x:v>
      </x:c>
      <x:c r="J79" s="27" t="str">
        <x:v>https://www.datadoghq.com/pricing/list/</x:v>
      </x:c>
      <x:c r="K79" s="17" t="n">
        <x:v>46234</x:v>
      </x:c>
    </x:row>
    <x:row r="80">
      <x:c r="A80" s="43" t="str">
        <x:v>Digital Experience Monitoring</x:v>
      </x:c>
      <x:c r="B80" s="43" t="str">
        <x:v>Real User Investigate (RUM) - Investigate</x:v>
      </x:c>
      <x:c r="C80" s="43" t="str">
        <x:v>Per 1,000 sessions, per month on filtered sessions</x:v>
      </x:c>
      <x:c r="D80" s="51" t="n">
        <x:v>3</x:v>
      </x:c>
      <x:c r="E80" s="51" t="n">
        <x:v>3.6</x:v>
      </x:c>
      <x:c r="F80" s="51" t="n">
        <x:v>4.5</x:v>
      </x:c>
      <x:c r="G80" s="15" t="str">
        <x:v>USD</x:v>
      </x:c>
      <x:c r="H80" s="15" t="str">
        <x:v>fact + analyst taxonomy</x:v>
      </x:c>
      <x:c r="I80" s="15" t="str">
        <x:v>PRICE-20260731</x:v>
      </x:c>
      <x:c r="J80" s="27" t="str">
        <x:v>https://www.datadoghq.com/pricing/list/</x:v>
      </x:c>
      <x:c r="K80" s="17" t="n">
        <x:v>46234</x:v>
      </x:c>
    </x:row>
    <x:row r="81">
      <x:c r="A81" s="43" t="str">
        <x:v>Digital Experience Monitoring</x:v>
      </x:c>
      <x:c r="B81" s="43" t="str">
        <x:v>Session Replay (Add-On for RUM and Prodct Analytics)</x:v>
      </x:c>
      <x:c r="C81" s="43" t="str">
        <x:v>Per 1,000 sessions, per month</x:v>
      </x:c>
      <x:c r="D81" s="51" t="n">
        <x:v>2.5</x:v>
      </x:c>
      <x:c r="E81" s="51" t="n">
        <x:v>3</x:v>
      </x:c>
      <x:c r="F81" s="51" t="n">
        <x:v>3.6</x:v>
      </x:c>
      <x:c r="G81" s="15" t="str">
        <x:v>USD</x:v>
      </x:c>
      <x:c r="H81" s="15" t="str">
        <x:v>fact + analyst taxonomy</x:v>
      </x:c>
      <x:c r="I81" s="15" t="str">
        <x:v>PRICE-20260731</x:v>
      </x:c>
      <x:c r="J81" s="27" t="str">
        <x:v>https://www.datadoghq.com/pricing/list/</x:v>
      </x:c>
      <x:c r="K81" s="17" t="n">
        <x:v>46234</x:v>
      </x:c>
    </x:row>
    <x:row r="82">
      <x:c r="A82" s="43" t="str">
        <x:v>Digital Experience Monitoring</x:v>
      </x:c>
      <x:c r="B82" s="43" t="str">
        <x:v>Synthetic API Tests</x:v>
      </x:c>
      <x:c r="C82" s="43" t="str">
        <x:v>per 10K API test runs, per month</x:v>
      </x:c>
      <x:c r="D82" s="51" t="n">
        <x:v>5</x:v>
      </x:c>
      <x:c r="E82" s="51" t="n">
        <x:v>6</x:v>
      </x:c>
      <x:c r="F82" s="51" t="n">
        <x:v>7.2</x:v>
      </x:c>
      <x:c r="G82" s="15" t="str">
        <x:v>USD</x:v>
      </x:c>
      <x:c r="H82" s="15" t="str">
        <x:v>fact + analyst taxonomy</x:v>
      </x:c>
      <x:c r="I82" s="15" t="str">
        <x:v>PRICE-20260731</x:v>
      </x:c>
      <x:c r="J82" s="27" t="str">
        <x:v>https://www.datadoghq.com/pricing/list/</x:v>
      </x:c>
      <x:c r="K82" s="17" t="n">
        <x:v>46234</x:v>
      </x:c>
    </x:row>
    <x:row r="83">
      <x:c r="A83" s="43" t="str">
        <x:v>Digital Experience Monitoring</x:v>
      </x:c>
      <x:c r="B83" s="43" t="str">
        <x:v>Synthetic Browser Tests</x:v>
      </x:c>
      <x:c r="C83" s="43" t="str">
        <x:v>per 1K browser test runs, per month</x:v>
      </x:c>
      <x:c r="D83" s="51" t="n">
        <x:v>12</x:v>
      </x:c>
      <x:c r="E83" s="51" t="n">
        <x:v>15</x:v>
      </x:c>
      <x:c r="F83" s="51" t="n">
        <x:v>18</x:v>
      </x:c>
      <x:c r="G83" s="15" t="str">
        <x:v>USD</x:v>
      </x:c>
      <x:c r="H83" s="15" t="str">
        <x:v>fact + analyst taxonomy</x:v>
      </x:c>
      <x:c r="I83" s="15" t="str">
        <x:v>PRICE-20260731</x:v>
      </x:c>
      <x:c r="J83" s="27" t="str">
        <x:v>https://www.datadoghq.com/pricing/list/</x:v>
      </x:c>
      <x:c r="K83" s="17" t="n">
        <x:v>46234</x:v>
      </x:c>
    </x:row>
    <x:row r="84">
      <x:c r="A84" s="43" t="str">
        <x:v>Digital Experience Monitoring</x:v>
      </x:c>
      <x:c r="B84" s="43" t="str">
        <x:v>Mobile App Testing</x:v>
      </x:c>
      <x:c r="C84" s="43" t="str">
        <x:v>Per 100 test runs, per month</x:v>
      </x:c>
      <x:c r="D84" s="51" t="n">
        <x:v>50</x:v>
      </x:c>
      <x:c r="E84" s="51" t="n">
        <x:v>60</x:v>
      </x:c>
      <x:c r="F84" s="51" t="n">
        <x:v>72</x:v>
      </x:c>
      <x:c r="G84" s="15" t="str">
        <x:v>USD</x:v>
      </x:c>
      <x:c r="H84" s="15" t="str">
        <x:v>fact + analyst taxonomy</x:v>
      </x:c>
      <x:c r="I84" s="15" t="str">
        <x:v>PRICE-20260731</x:v>
      </x:c>
      <x:c r="J84" s="27" t="str">
        <x:v>https://www.datadoghq.com/pricing/list/</x:v>
      </x:c>
      <x:c r="K84" s="17" t="n">
        <x:v>46234</x:v>
      </x:c>
    </x:row>
    <x:row r="85">
      <x:c r="A85" s="43" t="str">
        <x:v>Infrastructure &amp; Network</x:v>
      </x:c>
      <x:c r="B85" s="43" t="str">
        <x:v>Parallel Testing</x:v>
      </x:c>
      <x:c r="C85" s="43" t="str">
        <x:v>Per additional parallelizations, per month</x:v>
      </x:c>
      <x:c r="D85" s="51" t="n">
        <x:v>79</x:v>
      </x:c>
      <x:c r="E85" s="51" t="n">
        <x:v>95</x:v>
      </x:c>
      <x:c r="F85" s="51" t="n">
        <x:v>114</x:v>
      </x:c>
      <x:c r="G85" s="15" t="str">
        <x:v>USD</x:v>
      </x:c>
      <x:c r="H85" s="15" t="str">
        <x:v>fact + analyst taxonomy</x:v>
      </x:c>
      <x:c r="I85" s="15" t="str">
        <x:v>PRICE-20260731</x:v>
      </x:c>
      <x:c r="J85" s="27" t="str">
        <x:v>https://www.datadoghq.com/pricing/list/</x:v>
      </x:c>
      <x:c r="K85" s="17" t="n">
        <x:v>46234</x:v>
      </x:c>
    </x:row>
    <x:row r="86">
      <x:c r="A86" s="43" t="str">
        <x:v>Service Management</x:v>
      </x:c>
      <x:c r="B86" s="43" t="str">
        <x:v>On-Call</x:v>
      </x:c>
      <x:c r="C86" s="43" t="str">
        <x:v>Per seat, per month</x:v>
      </x:c>
      <x:c r="D86" s="51" t="n">
        <x:v>20</x:v>
      </x:c>
      <x:c r="E86" s="51" t="n">
        <x:v>24</x:v>
      </x:c>
      <x:c r="F86" s="51" t="n">
        <x:v>29</x:v>
      </x:c>
      <x:c r="G86" s="15" t="str">
        <x:v>USD</x:v>
      </x:c>
      <x:c r="H86" s="15" t="str">
        <x:v>fact + analyst taxonomy</x:v>
      </x:c>
      <x:c r="I86" s="15" t="str">
        <x:v>PRICE-20260731</x:v>
      </x:c>
      <x:c r="J86" s="27" t="str">
        <x:v>https://www.datadoghq.com/pricing/list/</x:v>
      </x:c>
      <x:c r="K86" s="17" t="n">
        <x:v>46234</x:v>
      </x:c>
    </x:row>
    <x:row r="87">
      <x:c r="A87" s="43" t="str">
        <x:v>Service Management</x:v>
      </x:c>
      <x:c r="B87" s="43" t="str">
        <x:v>Incident Management</x:v>
      </x:c>
      <x:c r="C87" s="43" t="str">
        <x:v>Per seat, per month</x:v>
      </x:c>
      <x:c r="D87" s="51" t="n">
        <x:v>30</x:v>
      </x:c>
      <x:c r="E87" s="51" t="n">
        <x:v>36</x:v>
      </x:c>
      <x:c r="F87" s="51" t="n">
        <x:v>43.2</x:v>
      </x:c>
      <x:c r="G87" s="15" t="str">
        <x:v>USD</x:v>
      </x:c>
      <x:c r="H87" s="15" t="str">
        <x:v>fact + analyst taxonomy</x:v>
      </x:c>
      <x:c r="I87" s="15" t="str">
        <x:v>PRICE-20260731</x:v>
      </x:c>
      <x:c r="J87" s="27" t="str">
        <x:v>https://www.datadoghq.com/pricing/list/</x:v>
      </x:c>
      <x:c r="K87" s="17" t="n">
        <x:v>46234</x:v>
      </x:c>
    </x:row>
    <x:row r="88">
      <x:c r="A88" s="43" t="str">
        <x:v>Service Management</x:v>
      </x:c>
      <x:c r="B88" s="43" t="str">
        <x:v>Incident Response</x:v>
      </x:c>
      <x:c r="C88" s="43" t="str">
        <x:v>Per seat, per month</x:v>
      </x:c>
      <x:c r="D88" s="51" t="n">
        <x:v>40</x:v>
      </x:c>
      <x:c r="E88" s="51" t="n">
        <x:v>48</x:v>
      </x:c>
      <x:c r="F88" s="51" t="n">
        <x:v>58</x:v>
      </x:c>
      <x:c r="G88" s="15" t="str">
        <x:v>USD</x:v>
      </x:c>
      <x:c r="H88" s="15" t="str">
        <x:v>fact + analyst taxonomy</x:v>
      </x:c>
      <x:c r="I88" s="15" t="str">
        <x:v>PRICE-20260731</x:v>
      </x:c>
      <x:c r="J88" s="27" t="str">
        <x:v>https://www.datadoghq.com/pricing/list/</x:v>
      </x:c>
      <x:c r="K88" s="17" t="n">
        <x:v>46234</x:v>
      </x:c>
    </x:row>
    <x:row r="89">
      <x:c r="A89" s="43" t="str">
        <x:v>Infrastructure &amp; Network</x:v>
      </x:c>
      <x:c r="B89" s="43" t="str">
        <x:v>Event Management</x:v>
      </x:c>
      <x:c r="C89" s="43" t="str">
        <x:v>Per event evaluated by a correlation pattern, per month</x:v>
      </x:c>
      <x:c r="D89" s="51" t="n">
        <x:v>0.1</x:v>
      </x:c>
      <x:c r="E89" s="51" t="n">
        <x:v>0.12</x:v>
      </x:c>
      <x:c r="F89" s="51" t="n">
        <x:v>0.14</x:v>
      </x:c>
      <x:c r="G89" s="15" t="str">
        <x:v>USD</x:v>
      </x:c>
      <x:c r="H89" s="15" t="str">
        <x:v>fact + analyst taxonomy</x:v>
      </x:c>
      <x:c r="I89" s="15" t="str">
        <x:v>PRICE-20260731</x:v>
      </x:c>
      <x:c r="J89" s="27" t="str">
        <x:v>https://www.datadoghq.com/pricing/list/</x:v>
      </x:c>
      <x:c r="K89" s="17" t="n">
        <x:v>46234</x:v>
      </x:c>
    </x:row>
    <x:row r="90">
      <x:c r="A90" s="43" t="str">
        <x:v>Infrastructure &amp; Network</x:v>
      </x:c>
      <x:c r="B90" s="43" t="str">
        <x:v>Workflow Automation</x:v>
      </x:c>
      <x:c r="C90" s="43" t="str">
        <x:v>Per 100 Workflow Executions, per month</x:v>
      </x:c>
      <x:c r="D90" s="51" t="n">
        <x:v>10</x:v>
      </x:c>
      <x:c r="E90" s="51" t="n">
        <x:v>12</x:v>
      </x:c>
      <x:c r="F90" s="51" t="n">
        <x:v>14</x:v>
      </x:c>
      <x:c r="G90" s="15" t="str">
        <x:v>USD</x:v>
      </x:c>
      <x:c r="H90" s="15" t="str">
        <x:v>fact + analyst taxonomy</x:v>
      </x:c>
      <x:c r="I90" s="15" t="str">
        <x:v>PRICE-20260731</x:v>
      </x:c>
      <x:c r="J90" s="27" t="str">
        <x:v>https://www.datadoghq.com/pricing/list/</x:v>
      </x:c>
      <x:c r="K90" s="17" t="n">
        <x:v>46234</x:v>
      </x:c>
    </x:row>
    <x:row r="91">
      <x:c r="A91" s="43" t="str">
        <x:v>APM &amp; Data Observability</x:v>
      </x:c>
      <x:c r="B91" s="43" t="str">
        <x:v>Error Tracking (1-50K)</x:v>
      </x:c>
      <x:c r="C91" s="43" t="str">
        <x:v>For the first 50k errors, per month</x:v>
      </x:c>
      <x:c r="D91" s="51" t="n">
        <x:v>25</x:v>
      </x:c>
      <x:c r="E91" s="51" t="n">
        <x:v>30</x:v>
      </x:c>
      <x:c r="F91" s="51" t="n">
        <x:v>36</x:v>
      </x:c>
      <x:c r="G91" s="15" t="str">
        <x:v>USD</x:v>
      </x:c>
      <x:c r="H91" s="15" t="str">
        <x:v>fact + analyst taxonomy</x:v>
      </x:c>
      <x:c r="I91" s="15" t="str">
        <x:v>PRICE-20260731</x:v>
      </x:c>
      <x:c r="J91" s="27" t="str">
        <x:v>https://www.datadoghq.com/pricing/list/</x:v>
      </x:c>
      <x:c r="K91" s="17" t="n">
        <x:v>46234</x:v>
      </x:c>
    </x:row>
    <x:row r="92">
      <x:c r="A92" s="43" t="str">
        <x:v>APM &amp; Data Observability</x:v>
      </x:c>
      <x:c r="B92" s="43" t="str">
        <x:v>Error Tracking (50-100K)</x:v>
      </x:c>
      <x:c r="C92" s="43" t="str">
        <x:v>Per 1k errors at 50-100k, per month</x:v>
      </x:c>
      <x:c r="D92" s="51" t="n">
        <x:v>0.25</x:v>
      </x:c>
      <x:c r="E92" s="51" t="n">
        <x:v>0.3</x:v>
      </x:c>
      <x:c r="F92" s="51" t="n">
        <x:v>0.38</x:v>
      </x:c>
      <x:c r="G92" s="15" t="str">
        <x:v>USD</x:v>
      </x:c>
      <x:c r="H92" s="15" t="str">
        <x:v>fact + analyst taxonomy</x:v>
      </x:c>
      <x:c r="I92" s="15" t="str">
        <x:v>PRICE-20260731</x:v>
      </x:c>
      <x:c r="J92" s="27" t="str">
        <x:v>https://www.datadoghq.com/pricing/list/</x:v>
      </x:c>
      <x:c r="K92" s="17" t="n">
        <x:v>46234</x:v>
      </x:c>
    </x:row>
    <x:row r="93">
      <x:c r="A93" s="43" t="str">
        <x:v>APM &amp; Data Observability</x:v>
      </x:c>
      <x:c r="B93" s="43" t="str">
        <x:v>Error Tracking (100-500K)</x:v>
      </x:c>
      <x:c r="C93" s="43" t="str">
        <x:v>Per 1k errors at 100-500k, per month</x:v>
      </x:c>
      <x:c r="D93" s="51" t="n">
        <x:v>0.21</x:v>
      </x:c>
      <x:c r="E93" s="51" t="n">
        <x:v>0.25</x:v>
      </x:c>
      <x:c r="F93" s="51" t="n">
        <x:v>0.32</x:v>
      </x:c>
      <x:c r="G93" s="15" t="str">
        <x:v>USD</x:v>
      </x:c>
      <x:c r="H93" s="15" t="str">
        <x:v>fact + analyst taxonomy</x:v>
      </x:c>
      <x:c r="I93" s="15" t="str">
        <x:v>PRICE-20260731</x:v>
      </x:c>
      <x:c r="J93" s="27" t="str">
        <x:v>https://www.datadoghq.com/pricing/list/</x:v>
      </x:c>
      <x:c r="K93" s="17" t="n">
        <x:v>46234</x:v>
      </x:c>
    </x:row>
    <x:row r="94">
      <x:c r="A94" s="43" t="str">
        <x:v>APM &amp; Data Observability</x:v>
      </x:c>
      <x:c r="B94" s="43" t="str">
        <x:v>Error Tracking (500K-10M)</x:v>
      </x:c>
      <x:c r="C94" s="43" t="str">
        <x:v>Per 1k errors at 500k-10m, per month</x:v>
      </x:c>
      <x:c r="D94" s="51" t="n">
        <x:v>0.17</x:v>
      </x:c>
      <x:c r="E94" s="51" t="n">
        <x:v>0.2</x:v>
      </x:c>
      <x:c r="F94" s="51" t="n">
        <x:v>0.26</x:v>
      </x:c>
      <x:c r="G94" s="15" t="str">
        <x:v>USD</x:v>
      </x:c>
      <x:c r="H94" s="15" t="str">
        <x:v>fact + analyst taxonomy</x:v>
      </x:c>
      <x:c r="I94" s="15" t="str">
        <x:v>PRICE-20260731</x:v>
      </x:c>
      <x:c r="J94" s="27" t="str">
        <x:v>https://www.datadoghq.com/pricing/list/</x:v>
      </x:c>
      <x:c r="K94" s="17" t="n">
        <x:v>46234</x:v>
      </x:c>
    </x:row>
    <x:row r="95">
      <x:c r="A95" s="43" t="str">
        <x:v>APM &amp; Data Observability</x:v>
      </x:c>
      <x:c r="B95" s="43" t="str">
        <x:v>Error Tracking (10M-20M)</x:v>
      </x:c>
      <x:c r="C95" s="43" t="str">
        <x:v>Per 1k errors at 10m-20m, per month</x:v>
      </x:c>
      <x:c r="D95" s="51" t="n">
        <x:v>0.12</x:v>
      </x:c>
      <x:c r="E95" s="51" t="n">
        <x:v>0.14</x:v>
      </x:c>
      <x:c r="F95" s="51" t="n">
        <x:v>0.22</x:v>
      </x:c>
      <x:c r="G95" s="15" t="str">
        <x:v>USD</x:v>
      </x:c>
      <x:c r="H95" s="15" t="str">
        <x:v>fact + analyst taxonomy</x:v>
      </x:c>
      <x:c r="I95" s="15" t="str">
        <x:v>PRICE-20260731</x:v>
      </x:c>
      <x:c r="J95" s="27" t="str">
        <x:v>https://www.datadoghq.com/pricing/list/</x:v>
      </x:c>
      <x:c r="K95" s="17" t="n">
        <x:v>46234</x:v>
      </x:c>
    </x:row>
    <x:row r="96">
      <x:c r="A96" s="43" t="str">
        <x:v>APM &amp; Data Observability</x:v>
      </x:c>
      <x:c r="B96" s="43" t="str">
        <x:v>Error Tracking (20M+)</x:v>
      </x:c>
      <x:c r="C96" s="43" t="str">
        <x:v>Per 1k errors at 20m+, per month</x:v>
      </x:c>
      <x:c r="D96" s="51" t="n">
        <x:v>0.1</x:v>
      </x:c>
      <x:c r="E96" s="51" t="n">
        <x:v>0.12</x:v>
      </x:c>
      <x:c r="F96" s="51" t="n">
        <x:v>0.18</x:v>
      </x:c>
      <x:c r="G96" s="15" t="str">
        <x:v>USD</x:v>
      </x:c>
      <x:c r="H96" s="15" t="str">
        <x:v>fact + analyst taxonomy</x:v>
      </x:c>
      <x:c r="I96" s="15" t="str">
        <x:v>PRICE-20260731</x:v>
      </x:c>
      <x:c r="J96" s="27" t="str">
        <x:v>https://www.datadoghq.com/pricing/list/</x:v>
      </x:c>
      <x:c r="K96" s="17" t="n">
        <x:v>46234</x:v>
      </x:c>
    </x:row>
    <x:row r="97">
      <x:c r="A97" s="43" t="str">
        <x:v>Infrastructure &amp; Network</x:v>
      </x:c>
      <x:c r="B97" s="43" t="str">
        <x:v>App Builder</x:v>
      </x:c>
      <x:c r="C97" s="43" t="str">
        <x:v>Per published app, per month</x:v>
      </x:c>
      <x:c r="D97" s="51" t="n">
        <x:v>35</x:v>
      </x:c>
      <x:c r="E97" s="51" t="n">
        <x:v>42</x:v>
      </x:c>
      <x:c r="F97" s="51" t="n">
        <x:v>51</x:v>
      </x:c>
      <x:c r="G97" s="15" t="str">
        <x:v>USD</x:v>
      </x:c>
      <x:c r="H97" s="15" t="str">
        <x:v>fact + analyst taxonomy</x:v>
      </x:c>
      <x:c r="I97" s="15" t="str">
        <x:v>PRICE-20260731</x:v>
      </x:c>
      <x:c r="J97" s="27" t="str">
        <x:v>https://www.datadoghq.com/pricing/list/</x:v>
      </x:c>
      <x:c r="K97" s="17" t="n">
        <x:v>46234</x:v>
      </x:c>
    </x:row>
    <x:row r="98">
      <x:c r="A98" s="43" t="str">
        <x:v>Infrastructure &amp; Network</x:v>
      </x:c>
      <x:c r="B98" s="43" t="str">
        <x:v>Feature Flags (1M-10M MFCRs)</x:v>
      </x:c>
      <x:c r="C98" s="43" t="str">
        <x:v>Per 1M Monthly Flag Configuration Requests (MFCRs), per month</x:v>
      </x:c>
      <x:c r="D98" s="51" t="n">
        <x:v>55</x:v>
      </x:c>
      <x:c r="E98" s="51" t="n">
        <x:v>89</x:v>
      </x:c>
      <x:c r="F98" s="51" t="n">
        <x:v>100</x:v>
      </x:c>
      <x:c r="G98" s="15" t="str">
        <x:v>USD</x:v>
      </x:c>
      <x:c r="H98" s="15" t="str">
        <x:v>fact + analyst taxonomy</x:v>
      </x:c>
      <x:c r="I98" s="15" t="str">
        <x:v>PRICE-20260731</x:v>
      </x:c>
      <x:c r="J98" s="27" t="str">
        <x:v>https://www.datadoghq.com/pricing/list/</x:v>
      </x:c>
      <x:c r="K98" s="17" t="n">
        <x:v>46234</x:v>
      </x:c>
    </x:row>
    <x:row r="99">
      <x:c r="A99" s="43" t="str">
        <x:v>Infrastructure &amp; Network</x:v>
      </x:c>
      <x:c r="B99" s="43" t="str">
        <x:v>Feature Flags (10M+ MFCRs)</x:v>
      </x:c>
      <x:c r="C99" s="43" t="str">
        <x:v>Per 1M Monthly Flag Configuration Requests (MFCRs), per month</x:v>
      </x:c>
      <x:c r="D99" s="51" t="n">
        <x:v>45</x:v>
      </x:c>
      <x:c r="E99" s="51" t="n">
        <x:v>73</x:v>
      </x:c>
      <x:c r="F99" s="51" t="n">
        <x:v>92</x:v>
      </x:c>
      <x:c r="G99" s="15" t="str">
        <x:v>USD</x:v>
      </x:c>
      <x:c r="H99" s="15" t="str">
        <x:v>fact + analyst taxonomy</x:v>
      </x:c>
      <x:c r="I99" s="15" t="str">
        <x:v>PRICE-20260731</x:v>
      </x:c>
      <x:c r="J99" s="27" t="str">
        <x:v>https://www.datadoghq.com/pricing/list/</x:v>
      </x:c>
      <x:c r="K99" s="17" t="n">
        <x:v>46234</x:v>
      </x:c>
    </x:row>
    <x:row r="100">
      <x:c r="A100" s="43" t="str">
        <x:v>Infrastructure &amp; Network</x:v>
      </x:c>
      <x:c r="B100" s="43" t="str">
        <x:v>Agent Observability</x:v>
      </x:c>
      <x:c r="C100" s="43" t="str">
        <x:v>For first 100k LLM spans, per month</x:v>
      </x:c>
      <x:c r="D100" s="51" t="n">
        <x:v>160</x:v>
      </x:c>
      <x:c r="E100" s="51" t="n">
        <x:v>200</x:v>
      </x:c>
      <x:c r="F100" s="51"/>
      <x:c r="G100" s="15" t="str">
        <x:v>USD</x:v>
      </x:c>
      <x:c r="H100" s="15" t="str">
        <x:v>fact + analyst taxonomy</x:v>
      </x:c>
      <x:c r="I100" s="15" t="str">
        <x:v>PRICE-20260731</x:v>
      </x:c>
      <x:c r="J100" s="27" t="str">
        <x:v>https://www.datadoghq.com/pricing/list/</x:v>
      </x:c>
      <x:c r="K100" s="17" t="n">
        <x:v>46234</x:v>
      </x:c>
    </x:row>
    <x:row r="101">
      <x:c r="A101" s="43" t="str">
        <x:v>AI / Emerging</x:v>
      </x:c>
      <x:c r="B101" s="43" t="str">
        <x:v>Agent Observability (+10K LLM spans)</x:v>
      </x:c>
      <x:c r="C101" s="43" t="str">
        <x:v>Per 10K additional LLM spans, per month</x:v>
      </x:c>
      <x:c r="D101" s="51" t="n">
        <x:v>3.5</x:v>
      </x:c>
      <x:c r="E101" s="51" t="n">
        <x:v>4.2</x:v>
      </x:c>
      <x:c r="F101" s="51" t="n">
        <x:v>5</x:v>
      </x:c>
      <x:c r="G101" s="15" t="str">
        <x:v>USD</x:v>
      </x:c>
      <x:c r="H101" s="15" t="str">
        <x:v>fact + analyst taxonomy</x:v>
      </x:c>
      <x:c r="I101" s="15" t="str">
        <x:v>PRICE-20260731</x:v>
      </x:c>
      <x:c r="J101" s="27" t="str">
        <x:v>https://www.datadoghq.com/pricing/list/</x:v>
      </x:c>
      <x:c r="K101" s="17" t="n">
        <x:v>46234</x:v>
      </x:c>
    </x:row>
    <x:row r="102">
      <x:c r="A102" s="43" t="str">
        <x:v>Infrastructure &amp; Network</x:v>
      </x:c>
      <x:c r="B102" s="43" t="str">
        <x:v>Agent Observability (30 day retention)</x:v>
      </x:c>
      <x:c r="C102" s="43" t="str">
        <x:v>Per 10K LLM spans, per month, with 30 day trace retention and 6 month experiment retention</x:v>
      </x:c>
      <x:c r="D102" s="51" t="n">
        <x:v>1.5</x:v>
      </x:c>
      <x:c r="E102" s="51" t="n">
        <x:v>1.5</x:v>
      </x:c>
      <x:c r="F102" s="51" t="n">
        <x:v>1.5</x:v>
      </x:c>
      <x:c r="G102" s="15" t="str">
        <x:v>USD</x:v>
      </x:c>
      <x:c r="H102" s="15" t="str">
        <x:v>fact + analyst taxonomy</x:v>
      </x:c>
      <x:c r="I102" s="15" t="str">
        <x:v>PRICE-20260731</x:v>
      </x:c>
      <x:c r="J102" s="27" t="str">
        <x:v>https://www.datadoghq.com/pricing/list/</x:v>
      </x:c>
      <x:c r="K102" s="17" t="n">
        <x:v>46234</x:v>
      </x:c>
    </x:row>
    <x:row r="103">
      <x:c r="A103" s="43" t="str">
        <x:v>Infrastructure &amp; Network</x:v>
      </x:c>
      <x:c r="B103" s="43" t="str">
        <x:v>Agent Observability (60 day retention)</x:v>
      </x:c>
      <x:c r="C103" s="43" t="str">
        <x:v>Per 10K LLM spans, per month, with 60 day trace retention and 9 month experiment retention</x:v>
      </x:c>
      <x:c r="D103" s="51" t="n">
        <x:v>3</x:v>
      </x:c>
      <x:c r="E103" s="51" t="n">
        <x:v>3</x:v>
      </x:c>
      <x:c r="F103" s="51" t="n">
        <x:v>3</x:v>
      </x:c>
      <x:c r="G103" s="15" t="str">
        <x:v>USD</x:v>
      </x:c>
      <x:c r="H103" s="15" t="str">
        <x:v>fact + analyst taxonomy</x:v>
      </x:c>
      <x:c r="I103" s="15" t="str">
        <x:v>PRICE-20260731</x:v>
      </x:c>
      <x:c r="J103" s="27" t="str">
        <x:v>https://www.datadoghq.com/pricing/list/</x:v>
      </x:c>
      <x:c r="K103" s="17" t="n">
        <x:v>46234</x:v>
      </x:c>
    </x:row>
    <x:row r="104">
      <x:c r="A104" s="43" t="str">
        <x:v>Infrastructure &amp; Network</x:v>
      </x:c>
      <x:c r="B104" s="43" t="str">
        <x:v>Agent Observability (90 day retention)</x:v>
      </x:c>
      <x:c r="C104" s="43" t="str">
        <x:v>Per 10K LLM spans, per month, with 90 day trace retention and 12 month experiment retention</x:v>
      </x:c>
      <x:c r="D104" s="51" t="n">
        <x:v>4</x:v>
      </x:c>
      <x:c r="E104" s="51" t="n">
        <x:v>4</x:v>
      </x:c>
      <x:c r="F104" s="51" t="n">
        <x:v>4</x:v>
      </x:c>
      <x:c r="G104" s="15" t="str">
        <x:v>USD</x:v>
      </x:c>
      <x:c r="H104" s="15" t="str">
        <x:v>fact + analyst taxonomy</x:v>
      </x:c>
      <x:c r="I104" s="15" t="str">
        <x:v>PRICE-20260731</x:v>
      </x:c>
      <x:c r="J104" s="27" t="str">
        <x:v>https://www.datadoghq.com/pricing/list/</x:v>
      </x:c>
      <x:c r="K104" s="17" t="n">
        <x:v>46234</x:v>
      </x:c>
    </x:row>
    <x:row r="105">
      <x:c r="A105" s="43" t="str">
        <x:v>Infrastructure &amp; Network</x:v>
      </x:c>
      <x:c r="B105" s="43" t="str">
        <x:v>Kubernetes Autoscaling</x:v>
      </x:c>
      <x:c r="C105" s="43" t="str">
        <x:v>Per vCPU, per month</x:v>
      </x:c>
      <x:c r="D105" s="51" t="n">
        <x:v>3</x:v>
      </x:c>
      <x:c r="E105" s="51" t="n">
        <x:v>3.6</x:v>
      </x:c>
      <x:c r="F105" s="51" t="n">
        <x:v>4.32</x:v>
      </x:c>
      <x:c r="G105" s="15" t="str">
        <x:v>USD</x:v>
      </x:c>
      <x:c r="H105" s="15" t="str">
        <x:v>fact + analyst taxonomy</x:v>
      </x:c>
      <x:c r="I105" s="15" t="str">
        <x:v>PRICE-20260731</x:v>
      </x:c>
      <x:c r="J105" s="27" t="str">
        <x:v>https://www.datadoghq.com/pricing/list/</x:v>
      </x:c>
      <x:c r="K105" s="17" t="n">
        <x:v>46234</x:v>
      </x:c>
    </x:row>
    <x:row r="106">
      <x:c r="A106" s="43" t="str">
        <x:v>Infrastructure &amp; Network</x:v>
      </x:c>
      <x:c r="B106" s="43" t="str">
        <x:v>Edge Device Monitoring</x:v>
      </x:c>
      <x:c r="C106" s="43" t="str">
        <x:v>Per infra host, per month</x:v>
      </x:c>
      <x:c r="D106" s="51" t="n">
        <x:v>5</x:v>
      </x:c>
      <x:c r="E106" s="51" t="n">
        <x:v>6</x:v>
      </x:c>
      <x:c r="F106" s="51" t="n">
        <x:v>7.2</x:v>
      </x:c>
      <x:c r="G106" s="15" t="str">
        <x:v>USD</x:v>
      </x:c>
      <x:c r="H106" s="15" t="str">
        <x:v>fact + analyst taxonomy</x:v>
      </x:c>
      <x:c r="I106" s="15" t="str">
        <x:v>PRICE-20260731</x:v>
      </x:c>
      <x:c r="J106" s="27" t="str">
        <x:v>https://www.datadoghq.com/pricing/list/</x:v>
      </x:c>
      <x:c r="K106" s="17" t="n">
        <x:v>46234</x:v>
      </x:c>
    </x:row>
    <x:row r="107">
      <x:c r="A107" s="43" t="str">
        <x:v>AI / Emerging</x:v>
      </x:c>
      <x:c r="B107" s="43" t="str">
        <x:v>AI Credits Per 500 credit bundle, per month</x:v>
      </x:c>
      <x:c r="C107" s="43" t="str">
        <x:v>Per 500 credit bundle, per month</x:v>
      </x:c>
      <x:c r="D107" s="51" t="n">
        <x:v>500</x:v>
      </x:c>
      <x:c r="E107" s="51" t="n">
        <x:v>600</x:v>
      </x:c>
      <x:c r="F107" s="51"/>
      <x:c r="G107" s="15" t="str">
        <x:v>USD</x:v>
      </x:c>
      <x:c r="H107" s="15" t="str">
        <x:v>fact + analyst taxonomy</x:v>
      </x:c>
      <x:c r="I107" s="15" t="str">
        <x:v>PRICE-20260731</x:v>
      </x:c>
      <x:c r="J107" s="27" t="str">
        <x:v>https://www.datadoghq.com/pricing/list/</x:v>
      </x:c>
      <x:c r="K107" s="17" t="n">
        <x:v>46234</x:v>
      </x:c>
    </x:row>
    <x:row r="108">
      <x:c r="A108" s="45" t="str">
        <x:v>Infrastructure &amp; Network</x:v>
      </x:c>
      <x:c r="B108" s="45" t="str">
        <x:v>Managed Platform OTLP</x:v>
      </x:c>
      <x:c r="C108" s="45" t="str">
        <x:v>Per GB of ingested spans, per month</x:v>
      </x:c>
      <x:c r="D108" s="52" t="n">
        <x:v>0.5</x:v>
      </x:c>
      <x:c r="E108" s="52" t="n">
        <x:v>0.5</x:v>
      </x:c>
      <x:c r="F108" s="52" t="n">
        <x:v>0.5</x:v>
      </x:c>
      <x:c r="G108" s="16" t="str">
        <x:v>USD</x:v>
      </x:c>
      <x:c r="H108" s="16" t="str">
        <x:v>fact + analyst taxonomy</x:v>
      </x:c>
      <x:c r="I108" s="16" t="str">
        <x:v>PRICE-20260731</x:v>
      </x:c>
      <x:c r="J108" s="28" t="str">
        <x:v>https://www.datadoghq.com/pricing/list/</x:v>
      </x:c>
      <x:c r="K108" s="18" t="n">
        <x:v>46234</x:v>
      </x:c>
    </x:row>
  </x:sheetData>
  <x:mergeCells>
    <x:mergeCell ref="A1:K2"/>
    <x:mergeCell ref="A3:K3"/>
  </x:mergeCells>
  <x:pageMargins left="0.7" right="0.7" top="0.75" bottom="0.75" header="0.3" footer="0.3"/>
  <x:tableParts count="1">
    <x:tablePart xmlns:r="http://schemas.openxmlformats.org/officeDocument/2006/relationships" r:id="R86a2447246a0471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3.329999923706055" hidden="0" customWidth="1"/>
    <x:col min="3" max="3" width="47.779998779296875" hidden="0" customWidth="1"/>
    <x:col min="4" max="4" width="14.4399995803833" hidden="0" customWidth="1"/>
    <x:col min="5" max="5" width="10" hidden="0" customWidth="1"/>
    <x:col min="6" max="6" width="29.440000534057617" hidden="0" customWidth="1"/>
    <x:col min="7" max="7" width="28.889999389648438" hidden="0" customWidth="1"/>
  </x:cols>
  <x:sheetData>
    <x:row r="1" ht="28" customHeight="1">
      <x:c r="A1" s="126" t="str">
        <x:v>Datadog — cost of revenue drivers</x:v>
      </x:c>
      <x:c r="B1" s="3"/>
      <x:c r="C1" s="3"/>
      <x:c r="D1" s="3"/>
      <x:c r="E1" s="3"/>
      <x:c r="F1" s="3"/>
      <x:c r="G1" s="3"/>
    </x:row>
    <x:row r="2" ht="28" customHeight="1">
      <x:c r="A2" s="3"/>
      <x:c r="B2" s="3"/>
      <x:c r="C2" s="3"/>
      <x:c r="D2" s="3"/>
      <x:c r="E2" s="3"/>
      <x:c r="F2" s="3"/>
      <x:c r="G2" s="3"/>
    </x:row>
    <x:row r="3" ht="30" customHeight="1">
      <x:c r="A3" s="127" t="str">
        <x:v>What Datadog says drives consolidated gross margin. No product-level cost allocation is disclosed.</x:v>
      </x:c>
      <x:c r="B3" s="7"/>
      <x:c r="C3" s="7"/>
      <x:c r="D3" s="7"/>
      <x:c r="E3" s="7"/>
      <x:c r="F3" s="7"/>
      <x:c r="G3" s="7"/>
    </x:row>
    <x:row r="5">
      <x:c r="A5" s="55" t="str">
        <x:v>Cost of revenue composition (FY2025 Form 10-K)</x:v>
      </x:c>
      <x:c r="B5" s="55"/>
      <x:c r="C5" s="55"/>
      <x:c r="D5" s="55"/>
      <x:c r="E5" s="55"/>
      <x:c r="F5" s="55"/>
      <x:c r="G5" s="55"/>
    </x:row>
    <x:row r="6">
      <x:c r="A6" s="12" t="str">
        <x:v>Cost component</x:v>
      </x:c>
      <x:c r="B6" s="12" t="str">
        <x:v>Disclosure</x:v>
      </x:c>
      <x:c r="C6" s="12" t="str">
        <x:v>Evidence label</x:v>
      </x:c>
      <x:c r="D6" s="12" t="str">
        <x:v>Source ID</x:v>
      </x:c>
      <x:c r="E6" s="12" t="str">
        <x:v>Official URL</x:v>
      </x:c>
      <x:c r="F6" s="12" t="str">
        <x:v>Product-allocation implication</x:v>
      </x:c>
      <x:c r="G6" s="12" t="str">
        <x:v>Status</x:v>
      </x:c>
    </x:row>
    <x:row r="7">
      <x:c r="A7" s="15" t="str">
        <x:v>Third-party cloud infrastructure</x:v>
      </x:c>
      <x:c r="B7" s="43" t="str">
        <x:v>Hosting Datadog software and related third-party software</x:v>
      </x:c>
      <x:c r="C7" s="43" t="str">
        <x:v>fact</x:v>
      </x:c>
      <x:c r="D7" s="43" t="str">
        <x:v>10K-2025</x:v>
      </x:c>
      <x:c r="E7" s="44" t="str">
        <x:v>https://www.sec.gov/Archives/edgar/data/1561550/000162828026008819/ddog-20251231.htm</x:v>
      </x:c>
      <x:c r="F7" s="43" t="str">
        <x:v>Likely usage/data-volume intensive; no allocation key disclosed</x:v>
      </x:c>
      <x:c r="G7" s="43" t="str">
        <x:v>Public</x:v>
      </x:c>
    </x:row>
    <x:row r="8">
      <x:c r="A8" s="15" t="str">
        <x:v>Personnel</x:v>
      </x:c>
      <x:c r="B8" s="43" t="str">
        <x:v>Operations and global support salaries, benefits, bonuses and stock-based compensation</x:v>
      </x:c>
      <x:c r="C8" s="43" t="str">
        <x:v>fact</x:v>
      </x:c>
      <x:c r="D8" s="43" t="str">
        <x:v>10K-2025</x:v>
      </x:c>
      <x:c r="E8" s="44" t="str">
        <x:v>https://www.sec.gov/Archives/edgar/data/1561550/000162828026008819/ddog-20251231.htm</x:v>
      </x:c>
      <x:c r="F8" s="43" t="str">
        <x:v>Shared support/platform burden</x:v>
      </x:c>
      <x:c r="G8" s="43" t="str">
        <x:v>Public</x:v>
      </x:c>
    </x:row>
    <x:row r="9">
      <x:c r="A9" s="15" t="str">
        <x:v>Payment processing</x:v>
      </x:c>
      <x:c r="B9" s="43" t="str">
        <x:v>Payment processing fees</x:v>
      </x:c>
      <x:c r="C9" s="43" t="str">
        <x:v>fact</x:v>
      </x:c>
      <x:c r="D9" s="43" t="str">
        <x:v>10K-2025</x:v>
      </x:c>
      <x:c r="E9" s="44" t="str">
        <x:v>https://www.sec.gov/Archives/edgar/data/1561550/000162828026008819/ddog-20251231.htm</x:v>
      </x:c>
      <x:c r="F9" s="43" t="str">
        <x:v>Likely revenue/payment-method linked</x:v>
      </x:c>
      <x:c r="G9" s="43" t="str">
        <x:v>Public</x:v>
      </x:c>
    </x:row>
    <x:row r="10">
      <x:c r="A10" s="15" t="str">
        <x:v>Information technology</x:v>
      </x:c>
      <x:c r="B10" s="43" t="str">
        <x:v>IT expense included in cost of revenue</x:v>
      </x:c>
      <x:c r="C10" s="43" t="str">
        <x:v>fact</x:v>
      </x:c>
      <x:c r="D10" s="43" t="str">
        <x:v>10K-2025</x:v>
      </x:c>
      <x:c r="E10" s="44" t="str">
        <x:v>https://www.sec.gov/Archives/edgar/data/1561550/000162828026008819/ddog-20251231.htm</x:v>
      </x:c>
      <x:c r="F10" s="43" t="str">
        <x:v>Shared platform burden</x:v>
      </x:c>
      <x:c r="G10" s="43" t="str">
        <x:v>Public</x:v>
      </x:c>
    </x:row>
    <x:row r="11">
      <x:c r="A11" s="15" t="str">
        <x:v>Depreciation &amp; amortization</x:v>
      </x:c>
      <x:c r="B11" s="43" t="str">
        <x:v>Internal-use software and acquired intangibles</x:v>
      </x:c>
      <x:c r="C11" s="43" t="str">
        <x:v>fact</x:v>
      </x:c>
      <x:c r="D11" s="43" t="str">
        <x:v>10K-2025</x:v>
      </x:c>
      <x:c r="E11" s="44" t="str">
        <x:v>https://www.sec.gov/Archives/edgar/data/1561550/000162828026008819/ddog-20251231.htm</x:v>
      </x:c>
      <x:c r="F11" s="43" t="str">
        <x:v>Allocation would require asset/product mapping</x:v>
      </x:c>
      <x:c r="G11" s="43" t="str">
        <x:v>Public</x:v>
      </x:c>
    </x:row>
    <x:row r="12">
      <x:c r="A12" s="16" t="str">
        <x:v>Allocated overhead</x:v>
      </x:c>
      <x:c r="B12" s="45" t="str">
        <x:v>Facilities and other overhead</x:v>
      </x:c>
      <x:c r="C12" s="45" t="str">
        <x:v>fact</x:v>
      </x:c>
      <x:c r="D12" s="45" t="str">
        <x:v>10K-2025</x:v>
      </x:c>
      <x:c r="E12" s="46" t="str">
        <x:v>https://www.sec.gov/Archives/edgar/data/1561550/000162828026008819/ddog-20251231.htm</x:v>
      </x:c>
      <x:c r="F12" s="45" t="str">
        <x:v>Requires allocation policy</x:v>
      </x:c>
      <x:c r="G12" s="45" t="str">
        <x:v>Public</x:v>
      </x:c>
    </x:row>
    <x:row r="14">
      <x:c r="A14" s="55" t="str">
        <x:v>Annual gross-margin commentary</x:v>
      </x:c>
      <x:c r="B14" s="55"/>
      <x:c r="C14" s="55"/>
      <x:c r="D14" s="55"/>
      <x:c r="E14" s="55"/>
      <x:c r="F14" s="55"/>
      <x:c r="G14" s="55"/>
    </x:row>
    <x:row r="15">
      <x:c r="A15" s="12" t="str">
        <x:v>Period</x:v>
      </x:c>
      <x:c r="B15" s="12" t="str">
        <x:v>Reported direction</x:v>
      </x:c>
      <x:c r="C15" s="12" t="str">
        <x:v>Management explanation</x:v>
      </x:c>
      <x:c r="D15" s="12" t="str">
        <x:v>Evidence label</x:v>
      </x:c>
      <x:c r="E15" s="12" t="str">
        <x:v>Source ID</x:v>
      </x:c>
      <x:c r="F15" s="12" t="str">
        <x:v>Official URL</x:v>
      </x:c>
      <x:c r="G15" s="12" t="str">
        <x:v>Quantified detail</x:v>
      </x:c>
    </x:row>
    <x:row r="16">
      <x:c r="A16" s="15" t="str">
        <x:v>FY2019</x:v>
      </x:c>
      <x:c r="B16" s="15" t="str">
        <x:v>Decreased</x:v>
      </x:c>
      <x:c r="C16" s="43" t="str">
        <x:v>Our gross margin declined by 2% for the year ended December 31, 2019 compared to the year ended December 31, 2018, primarily as the result of the timing and amount of our investments to expand the capacity of our third-party cloud infrastructure providers.</x:v>
      </x:c>
      <x:c r="D16" s="43" t="str">
        <x:v>issuer_management_claim</x:v>
      </x:c>
      <x:c r="E16" s="43" t="str">
        <x:v>10K-2019</x:v>
      </x:c>
      <x:c r="F16" s="44" t="str">
        <x:v>https://www.sec.gov/Archives/edgar/data/1561550/000156459020006422/ddog-10k_20191231.htm</x:v>
      </x:c>
      <x:c r="G16" s="43" t="str"/>
    </x:row>
    <x:row r="17">
      <x:c r="A17" s="15" t="str">
        <x:v>FY2020</x:v>
      </x:c>
      <x:c r="B17" s="15" t="str">
        <x:v>Increased</x:v>
      </x:c>
      <x:c r="C17" s="43" t="str">
        <x:v>Our gross margin increased by 3% for the year ended December 31, 2020 compared to the year ended December 31, 2019, primarily as a result of increased revenue and cost savings from our third-party cloud infrastructure providers. | Our gross margin declined by 2% for the year ended December 31, 2019 compared to the year ended December 31, 2018 primarily as the result of the timing and amount of our investments to expand the capacity of our third-party cloud infrastructure providers.</x:v>
      </x:c>
      <x:c r="D17" s="43" t="str">
        <x:v>issuer_management_claim</x:v>
      </x:c>
      <x:c r="E17" s="43" t="str">
        <x:v>10K-2020</x:v>
      </x:c>
      <x:c r="F17" s="44" t="str">
        <x:v>https://www.sec.gov/Archives/edgar/data/1561550/000156459021009770/ddog-10k_20201231.htm</x:v>
      </x:c>
      <x:c r="G17" s="43" t="str"/>
    </x:row>
    <x:row r="18">
      <x:c r="A18" s="15" t="str">
        <x:v>FY2021</x:v>
      </x:c>
      <x:c r="B18" s="15" t="str">
        <x:v>Decreased</x:v>
      </x:c>
      <x:c r="C18" s="43" t="str">
        <x:v>Our gross margin decreased by 1% for the year ended December 31, 2021 compared to the year ended December 31, 2020, primarily as the result of the timing and amount of our investments to expand the capacity of our third-party cloud infrastructure providers.</x:v>
      </x:c>
      <x:c r="D18" s="43" t="str">
        <x:v>issuer_management_claim</x:v>
      </x:c>
      <x:c r="E18" s="43" t="str">
        <x:v>10K-2021</x:v>
      </x:c>
      <x:c r="F18" s="44" t="str">
        <x:v>https://www.sec.gov/Archives/edgar/data/1561550/000156155022000009/ddog-20211231.htm</x:v>
      </x:c>
      <x:c r="G18" s="43" t="str"/>
    </x:row>
    <x:row r="19">
      <x:c r="A19" s="15" t="str">
        <x:v>FY2022</x:v>
      </x:c>
      <x:c r="B19" s="15" t="str">
        <x:v>Increased</x:v>
      </x:c>
      <x:c r="C19" s="43" t="str">
        <x:v>Our gross margin increased by 2% for the year ended December 31, 2022 compared to the year ended December 31, 2021, primarily as the result of revenue growth exceeding the growth of third-party cloud infrastructure provider costs due to cost savings.</x:v>
      </x:c>
      <x:c r="D19" s="43" t="str">
        <x:v>issuer_management_claim</x:v>
      </x:c>
      <x:c r="E19" s="43" t="str">
        <x:v>10K-2022</x:v>
      </x:c>
      <x:c r="F19" s="44" t="str">
        <x:v>https://www.sec.gov/Archives/edgar/data/1561550/000156155023000006/ddog-20221231.htm</x:v>
      </x:c>
      <x:c r="G19" s="43" t="str"/>
    </x:row>
    <x:row r="20">
      <x:c r="A20" s="15" t="str">
        <x:v>FY2023</x:v>
      </x:c>
      <x:c r="B20" s="15" t="str">
        <x:v>Increased</x:v>
      </x:c>
      <x:c r="C20" s="43" t="str">
        <x:v>Our gross margin increased by 2% for the year ended December 31, 2023 compared to the year ended December 31, 2022, primarily as the result of revenue growth exceeding the growth of third-party cloud infrastructure provider costs due to cost savings.</x:v>
      </x:c>
      <x:c r="D20" s="43" t="str">
        <x:v>issuer_management_claim</x:v>
      </x:c>
      <x:c r="E20" s="43" t="str">
        <x:v>10K-2023</x:v>
      </x:c>
      <x:c r="F20" s="44" t="str">
        <x:v>https://www.sec.gov/Archives/edgar/data/1561550/000156155024000009/ddog-20231231.htm</x:v>
      </x:c>
      <x:c r="G20" s="43" t="str"/>
    </x:row>
    <x:row r="21">
      <x:c r="A21" s="15" t="str">
        <x:v>FY2024</x:v>
      </x:c>
      <x:c r="B21" s="15" t="str">
        <x:v>Flat</x:v>
      </x:c>
      <x:c r="C21" s="43" t="str">
        <x:v>Our gross margin remained flat for the year ended December 31, 2024 compared to the year ended December 31, 2023, primarily as the result of revenue growing in proportion to the growth of third-party cloud infrastructure provider costs.</x:v>
      </x:c>
      <x:c r="D21" s="43" t="str">
        <x:v>issuer_management_claim</x:v>
      </x:c>
      <x:c r="E21" s="43" t="str">
        <x:v>10K-2024</x:v>
      </x:c>
      <x:c r="F21" s="44" t="str">
        <x:v>https://www.sec.gov/Archives/edgar/data/1561550/000156155025000025/ddog-20241231.htm</x:v>
      </x:c>
      <x:c r="G21" s="43" t="str"/>
    </x:row>
    <x:row r="22">
      <x:c r="A22" s="16" t="str">
        <x:v>FY2025</x:v>
      </x:c>
      <x:c r="B22" s="16" t="str">
        <x:v>Decreased</x:v>
      </x:c>
      <x:c r="C22" s="45" t="str">
        <x:v>Our gross margin decreased by 1% for the year ended December 31, 2025 compared to the year ended December 31, 2024, primarily as the result of increased in third-party cloud infrastructure provider costs.</x:v>
      </x:c>
      <x:c r="D22" s="45" t="str">
        <x:v>issuer_management_claim</x:v>
      </x:c>
      <x:c r="E22" s="45" t="str">
        <x:v>10K-2025</x:v>
      </x:c>
      <x:c r="F22" s="46" t="str">
        <x:v>https://www.sec.gov/Archives/edgar/data/1561550/000162828026008819/ddog-20251231.htm</x:v>
      </x:c>
      <x:c r="G22" s="45" t="str">
        <x:v>COGS +$171.4m YoY: +$149.8m third-party cloud hosting/software; +$18.2m personnel.</x:v>
      </x:c>
    </x:row>
  </x:sheetData>
  <x:mergeCells>
    <x:mergeCell ref="A1:G2"/>
    <x:mergeCell ref="A3:G3"/>
    <x:mergeCell ref="A5:G5"/>
    <x:mergeCell ref="A14:G1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8.670000076293945" hidden="0" customWidth="1"/>
    <x:col min="2" max="2" width="13.109999656677246" hidden="0" customWidth="1"/>
    <x:col min="3" max="3" width="12.4399995803833" hidden="0" customWidth="1"/>
    <x:col min="4" max="4" width="11.109999656677246" hidden="0" customWidth="1"/>
    <x:col min="5" max="5" width="12.220000267028809" hidden="0" customWidth="1"/>
    <x:col min="6" max="6" width="12.220000267028809" hidden="0" customWidth="1"/>
    <x:col min="7" max="7" width="11.109999656677246" hidden="0" customWidth="1"/>
    <x:col min="8" max="8" width="9.109999656677246" hidden="0" customWidth="1"/>
    <x:col min="9" max="9" width="10" hidden="0" customWidth="1"/>
    <x:col min="10" max="10" width="30" hidden="0" customWidth="1"/>
  </x:cols>
  <x:sheetData>
    <x:row r="1" ht="28" customHeight="1">
      <x:c r="A1" s="126" t="str">
        <x:v>Datadog — geographic revenue mix</x:v>
      </x:c>
      <x:c r="B1" s="3"/>
      <x:c r="C1" s="3"/>
      <x:c r="D1" s="3"/>
      <x:c r="E1" s="3"/>
      <x:c r="F1" s="3"/>
      <x:c r="G1" s="3"/>
      <x:c r="H1" s="3"/>
      <x:c r="I1" s="3"/>
      <x:c r="J1" s="3"/>
    </x:row>
    <x:row r="2" ht="28" customHeight="1">
      <x:c r="A2" s="3"/>
      <x:c r="B2" s="3"/>
      <x:c r="C2" s="3"/>
      <x:c r="D2" s="3"/>
      <x:c r="E2" s="3"/>
      <x:c r="F2" s="3"/>
      <x:c r="G2" s="3"/>
      <x:c r="H2" s="3"/>
      <x:c r="I2" s="3"/>
      <x:c r="J2" s="3"/>
    </x:row>
    <x:row r="3" ht="30" customHeight="1">
      <x:c r="A3" s="127" t="str">
        <x:v>Revenue by customer billing location. Useful business-direction cut, but not a product margin disclosure.</x:v>
      </x:c>
      <x:c r="B3" s="7"/>
      <x:c r="C3" s="7"/>
      <x:c r="D3" s="7"/>
      <x:c r="E3" s="7"/>
      <x:c r="F3" s="7"/>
      <x:c r="G3" s="7"/>
      <x:c r="H3" s="7"/>
      <x:c r="I3" s="7"/>
      <x:c r="J3" s="7"/>
    </x:row>
    <x:row r="5">
      <x:c r="A5" s="12" t="str">
        <x:v>Period</x:v>
      </x:c>
      <x:c r="B5" s="12" t="str">
        <x:v>North America revenue</x:v>
      </x:c>
      <x:c r="C5" s="12" t="str">
        <x:v>International revenue</x:v>
      </x:c>
      <x:c r="D5" s="12" t="str">
        <x:v>Total revenue</x:v>
      </x:c>
      <x:c r="E5" s="12" t="str">
        <x:v>North America share</x:v>
      </x:c>
      <x:c r="F5" s="12" t="str">
        <x:v>International share</x:v>
      </x:c>
      <x:c r="G5" s="12" t="str">
        <x:v>U.S. revenue</x:v>
      </x:c>
      <x:c r="H5" s="12" t="str">
        <x:v>U.S. share</x:v>
      </x:c>
      <x:c r="I5" s="12" t="str">
        <x:v>Source ID</x:v>
      </x:c>
      <x:c r="J5" s="12" t="str">
        <x:v>Official URL</x:v>
      </x:c>
    </x:row>
    <x:row r="6">
      <x:c r="A6" s="15" t="str">
        <x:v>FY2023</x:v>
      </x:c>
      <x:c r="B6" s="19" t="n">
        <x:v>1487.319</x:v>
      </x:c>
      <x:c r="C6" s="19" t="n">
        <x:v>641.04</x:v>
      </x:c>
      <x:c r="D6" s="19" t="n">
        <x:v>2128.359</x:v>
      </x:c>
      <x:c r="E6" s="21" t="n">
        <x:f>IFERROR(B6/D6,"")</x:f>
        <x:v>0.6988102101196274</x:v>
      </x:c>
      <x:c r="F6" s="21" t="n">
        <x:f>IFERROR(C6/D6,"")</x:f>
        <x:v>0.3011897898803726</x:v>
      </x:c>
      <x:c r="G6" s="19" t="n">
        <x:v>1411</x:v>
      </x:c>
      <x:c r="H6" s="21" t="n">
        <x:f>IFERROR(G6/D6,"")</x:f>
        <x:v>0.6629520677667631</x:v>
      </x:c>
      <x:c r="I6" s="15" t="str">
        <x:v>10K-2025</x:v>
      </x:c>
      <x:c r="J6" s="27" t="str">
        <x:v>https://www.sec.gov/Archives/edgar/data/1561550/000162828026008819/ddog-20251231.htm</x:v>
      </x:c>
    </x:row>
    <x:row r="7">
      <x:c r="A7" s="15" t="str">
        <x:v>FY2024</x:v>
      </x:c>
      <x:c r="B7" s="19" t="n">
        <x:v>1874.321</x:v>
      </x:c>
      <x:c r="C7" s="19" t="n">
        <x:v>809.954</x:v>
      </x:c>
      <x:c r="D7" s="19" t="n">
        <x:v>2684.275</x:v>
      </x:c>
      <x:c r="E7" s="21" t="n">
        <x:f>IFERROR(B7/D7,"")</x:f>
        <x:v>0.6982596790567285</x:v>
      </x:c>
      <x:c r="F7" s="21" t="n">
        <x:f>IFERROR(C7/D7,"")</x:f>
        <x:v>0.3017403209432714</x:v>
      </x:c>
      <x:c r="G7" s="19" t="n">
        <x:v>1785.5</x:v>
      </x:c>
      <x:c r="H7" s="21" t="n">
        <x:f>IFERROR(G7/D7,"")</x:f>
        <x:v>0.6651702973801119</x:v>
      </x:c>
      <x:c r="I7" s="15" t="str">
        <x:v>10K-2025</x:v>
      </x:c>
      <x:c r="J7" s="27" t="str">
        <x:v>https://www.sec.gov/Archives/edgar/data/1561550/000162828026008819/ddog-20251231.htm</x:v>
      </x:c>
    </x:row>
    <x:row r="8">
      <x:c r="A8" s="16" t="str">
        <x:v>FY2025</x:v>
      </x:c>
      <x:c r="B8" s="20" t="n">
        <x:v>2433.083</x:v>
      </x:c>
      <x:c r="C8" s="20" t="n">
        <x:v>994.075</x:v>
      </x:c>
      <x:c r="D8" s="20" t="n">
        <x:v>3427.158</x:v>
      </x:c>
      <x:c r="E8" s="22" t="n">
        <x:f>IFERROR(B8/D8,"")</x:f>
        <x:v>0.709941881874136</x:v>
      </x:c>
      <x:c r="F8" s="22" t="n">
        <x:f>IFERROR(C8/D8,"")</x:f>
        <x:v>0.2900581181258641</x:v>
      </x:c>
      <x:c r="G8" s="20" t="n">
        <x:v>2320.3</x:v>
      </x:c>
      <x:c r="H8" s="22" t="n">
        <x:f>IFERROR(G8/D8,"")</x:f>
        <x:v>0.6770332736337222</x:v>
      </x:c>
      <x:c r="I8" s="16" t="str">
        <x:v>10K-2025</x:v>
      </x:c>
      <x:c r="J8" s="28" t="str">
        <x:v>https://www.sec.gov/Archives/edgar/data/1561550/000162828026008819/ddog-20251231.htm</x:v>
      </x:c>
    </x:row>
  </x:sheetData>
  <x:mergeCells>
    <x:mergeCell ref="A1:J2"/>
    <x:mergeCell ref="A3:J3"/>
  </x:mergeCells>
  <x:pageMargins left="0.7" right="0.7" top="0.75" bottom="0.75" header="0.3" footer="0.3"/>
  <x:tableParts count="1">
    <x:tablePart xmlns:r="http://schemas.openxmlformats.org/officeDocument/2006/relationships" r:id="R2cc24973772146e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11.109999656677246" hidden="0" customWidth="1"/>
    <x:col min="3" max="3" width="23.329999923706055" hidden="0" customWidth="1"/>
    <x:col min="4" max="4" width="30" hidden="0" customWidth="1"/>
    <x:col min="5" max="5" width="16.670000076293945" hidden="0" customWidth="1"/>
    <x:col min="6" max="6" width="8.890000343322754" hidden="0" customWidth="1"/>
    <x:col min="7" max="7" width="11.109999656677246" hidden="0" customWidth="1"/>
    <x:col min="8" max="8" width="8" hidden="0" customWidth="1"/>
    <x:col min="9" max="9" width="16.670000076293945" hidden="0" customWidth="1"/>
  </x:cols>
  <x:sheetData>
    <x:row r="1" ht="28" customHeight="1">
      <x:c r="A1" s="126" t="str">
        <x:v>Directional product-margin framework</x:v>
      </x:c>
      <x:c r="B1" s="3"/>
      <x:c r="C1" s="3"/>
      <x:c r="D1" s="3"/>
      <x:c r="E1" s="3"/>
      <x:c r="F1" s="3"/>
      <x:c r="G1" s="3"/>
      <x:c r="H1" s="3"/>
      <x:c r="I1" s="3"/>
    </x:row>
    <x:row r="2" ht="28" customHeight="1">
      <x:c r="A2" s="3"/>
      <x:c r="B2" s="3"/>
      <x:c r="C2" s="3"/>
      <x:c r="D2" s="3"/>
      <x:c r="E2" s="3"/>
      <x:c r="F2" s="3"/>
      <x:c r="G2" s="3"/>
      <x:c r="H2" s="3"/>
      <x:c r="I2" s="3"/>
    </x:row>
    <x:row r="3" ht="30" customHeight="1">
      <x:c r="A3" s="127" t="str">
        <x:v>This sheet is deliberately unpopulated where Datadog does not disclose inputs. Enter revenue and COGS allocation assumptions in blue cells; outputs calculate only when both allocations are supplied.</x:v>
      </x:c>
      <x:c r="B3" s="7"/>
      <x:c r="C3" s="7"/>
      <x:c r="D3" s="7"/>
      <x:c r="E3" s="7"/>
      <x:c r="F3" s="7"/>
      <x:c r="G3" s="7"/>
      <x:c r="H3" s="7"/>
      <x:c r="I3" s="7"/>
    </x:row>
    <x:row r="5">
      <x:c r="A5" s="55" t="str">
        <x:v>FY2025 allocation template</x:v>
      </x:c>
      <x:c r="B5" s="55"/>
      <x:c r="C5" s="55"/>
      <x:c r="D5" s="55"/>
      <x:c r="E5" s="55"/>
      <x:c r="F5" s="55"/>
      <x:c r="G5" s="55"/>
      <x:c r="H5" s="55"/>
      <x:c r="I5" s="55"/>
    </x:row>
    <x:row r="6">
      <x:c r="A6" s="12" t="str">
        <x:v>Business direction</x:v>
      </x:c>
      <x:c r="B6" s="12" t="str">
        <x:v>Disclosed ARR lower bound</x:v>
      </x:c>
      <x:c r="C6" s="12" t="str">
        <x:v>ARR scope note</x:v>
      </x:c>
      <x:c r="D6" s="12" t="str">
        <x:v>Revenue allocation assumption</x:v>
      </x:c>
      <x:c r="E6" s="12" t="str">
        <x:v>COGS allocation assumption</x:v>
      </x:c>
      <x:c r="F6" s="12" t="str">
        <x:v>Allocated revenue</x:v>
      </x:c>
      <x:c r="G6" s="12" t="str">
        <x:v>Allocated COGS</x:v>
      </x:c>
      <x:c r="H6" s="12" t="str">
        <x:v>Estimated gross margin</x:v>
      </x:c>
      <x:c r="I6" s="12" t="str">
        <x:v>Evidence / limitation</x:v>
      </x:c>
    </x:row>
    <x:row r="7">
      <x:c r="A7" s="15" t="str">
        <x:v>Infrastructure Monitoring</x:v>
      </x:c>
      <x:c r="B7" s="70" t="n">
        <x:v>1600</x:v>
      </x:c>
      <x:c r="C7" s="43" t="str">
        <x:v>Product ARR &gt;$1.6bn</x:v>
      </x:c>
      <x:c r="D7" s="59"/>
      <x:c r="E7" s="59"/>
      <x:c r="F7" s="19" t="str">
        <x:f>IF(D7="","",D7*Annual_Financials!$C$13)</x:f>
      </x:c>
      <x:c r="G7" s="19" t="str">
        <x:f>IF(E7="","",E7*Annual_Financials!$D$13)</x:f>
      </x:c>
      <x:c r="H7" s="21" t="str">
        <x:f>IF(OR(F7="",G7=""),"",1-G7/F7)</x:f>
      </x:c>
      <x:c r="I7" s="43" t="str">
        <x:v>ARR lower bound; no product revenue or COGS</x:v>
      </x:c>
    </x:row>
    <x:row r="8">
      <x:c r="A8" s="15" t="str">
        <x:v>Log Management (incl. Flex Logs)</x:v>
      </x:c>
      <x:c r="B8" s="70" t="n">
        <x:v>1000</x:v>
      </x:c>
      <x:c r="C8" s="43" t="str">
        <x:v>Log ARR &gt;$1.0bn; Flex near $100m is included/overlapping</x:v>
      </x:c>
      <x:c r="D8" s="59"/>
      <x:c r="E8" s="59"/>
      <x:c r="F8" s="19" t="str">
        <x:f>IF(D8="","",D8*Annual_Financials!$C$13)</x:f>
      </x:c>
      <x:c r="G8" s="19" t="str">
        <x:f>IF(E8="","",E8*Annual_Financials!$D$13)</x:f>
      </x:c>
      <x:c r="H8" s="21" t="str">
        <x:f>IF(OR(F8="",G8=""),"",1-G8/F8)</x:f>
      </x:c>
      <x:c r="I8" s="43" t="str">
        <x:v>Scope overlap prevents summing</x:v>
      </x:c>
    </x:row>
    <x:row r="9">
      <x:c r="A9" s="15" t="str">
        <x:v>APM + Digital Experience Monitoring</x:v>
      </x:c>
      <x:c r="B9" s="70" t="n">
        <x:v>1000</x:v>
      </x:c>
      <x:c r="C9" s="43" t="str">
        <x:v>Combined ARR &gt;$1.0bn</x:v>
      </x:c>
      <x:c r="D9" s="59"/>
      <x:c r="E9" s="59"/>
      <x:c r="F9" s="19" t="str">
        <x:f>IF(D9="","",D9*Annual_Financials!$C$13)</x:f>
      </x:c>
      <x:c r="G9" s="19" t="str">
        <x:f>IF(E9="","",E9*Annual_Financials!$D$13)</x:f>
      </x:c>
      <x:c r="H9" s="21" t="str">
        <x:f>IF(OR(F9="",G9=""),"",1-G9/F9)</x:f>
      </x:c>
      <x:c r="I9" s="43" t="str">
        <x:v>2025 scope broader than 2024 end-to-end APM</x:v>
      </x:c>
    </x:row>
    <x:row r="10">
      <x:c r="A10" s="15" t="str">
        <x:v>Security</x:v>
      </x:c>
      <x:c r="B10" s="70"/>
      <x:c r="C10" s="43" t="str">
        <x:v>Customer count disclosed, ARR not disclosed</x:v>
      </x:c>
      <x:c r="D10" s="59"/>
      <x:c r="E10" s="59"/>
      <x:c r="F10" s="19" t="str">
        <x:f>IF(D10="","",D10*Annual_Financials!$C$13)</x:f>
      </x:c>
      <x:c r="G10" s="19" t="str">
        <x:f>IF(E10="","",E10*Annual_Financials!$D$13)</x:f>
      </x:c>
      <x:c r="H10" s="21" t="str">
        <x:f>IF(OR(F10="",G10=""),"",1-G10/F10)</x:f>
      </x:c>
      <x:c r="I10" s="43" t="str">
        <x:v>No public ARR/revenue</x:v>
      </x:c>
    </x:row>
    <x:row r="11">
      <x:c r="A11" s="15" t="str">
        <x:v>Software Delivery</x:v>
      </x:c>
      <x:c r="B11" s="70"/>
      <x:c r="C11" s="43" t="str">
        <x:v>Some products &gt;$10m ARR in 2024; not individually quantified</x:v>
      </x:c>
      <x:c r="D11" s="59"/>
      <x:c r="E11" s="59"/>
      <x:c r="F11" s="19" t="str">
        <x:f>IF(D11="","",D11*Annual_Financials!$C$13)</x:f>
      </x:c>
      <x:c r="G11" s="19" t="str">
        <x:f>IF(E11="","",E11*Annual_Financials!$D$13)</x:f>
      </x:c>
      <x:c r="H11" s="21" t="str">
        <x:f>IF(OR(F11="",G11=""),"",1-G11/F11)</x:f>
      </x:c>
      <x:c r="I11" s="43" t="str">
        <x:v>No public revenue</x:v>
      </x:c>
    </x:row>
    <x:row r="12">
      <x:c r="A12" s="15" t="str">
        <x:v>Data Observability</x:v>
      </x:c>
      <x:c r="B12" s="70"/>
      <x:c r="C12" s="43" t="str">
        <x:v>Sparse product-level milestones only</x:v>
      </x:c>
      <x:c r="D12" s="59"/>
      <x:c r="E12" s="59"/>
      <x:c r="F12" s="19" t="str">
        <x:f>IF(D12="","",D12*Annual_Financials!$C$13)</x:f>
      </x:c>
      <x:c r="G12" s="19" t="str">
        <x:f>IF(E12="","",E12*Annual_Financials!$D$13)</x:f>
      </x:c>
      <x:c r="H12" s="21" t="str">
        <x:f>IF(OR(F12="",G12=""),"",1-G12/F12)</x:f>
      </x:c>
      <x:c r="I12" s="43" t="str">
        <x:v>No public revenue</x:v>
      </x:c>
    </x:row>
    <x:row r="13">
      <x:c r="A13" s="15" t="str">
        <x:v>Service Management</x:v>
      </x:c>
      <x:c r="B13" s="70"/>
      <x:c r="C13" s="43" t="str">
        <x:v>Customer counts only for incident response</x:v>
      </x:c>
      <x:c r="D13" s="59"/>
      <x:c r="E13" s="59"/>
      <x:c r="F13" s="19" t="str">
        <x:f>IF(D13="","",D13*Annual_Financials!$C$13)</x:f>
      </x:c>
      <x:c r="G13" s="19" t="str">
        <x:f>IF(E13="","",E13*Annual_Financials!$D$13)</x:f>
      </x:c>
      <x:c r="H13" s="21" t="str">
        <x:f>IF(OR(F13="",G13=""),"",1-G13/F13)</x:f>
      </x:c>
      <x:c r="I13" s="43" t="str">
        <x:v>No public revenue</x:v>
      </x:c>
    </x:row>
    <x:row r="14">
      <x:c r="A14" s="15" t="str">
        <x:v>AI / Other emerging</x:v>
      </x:c>
      <x:c r="B14" s="70"/>
      <x:c r="C14" s="43" t="str">
        <x:v>AI-integration customer cohort ≠ AI product revenue</x:v>
      </x:c>
      <x:c r="D14" s="59"/>
      <x:c r="E14" s="59"/>
      <x:c r="F14" s="19" t="str">
        <x:f>IF(D14="","",D14*Annual_Financials!$C$13)</x:f>
      </x:c>
      <x:c r="G14" s="19" t="str">
        <x:f>IF(E14="","",E14*Annual_Financials!$D$13)</x:f>
      </x:c>
      <x:c r="H14" s="21" t="str">
        <x:f>IF(OR(F14="",G14=""),"",1-G14/F14)</x:f>
      </x:c>
      <x:c r="I14" s="43" t="str">
        <x:v>Do not treat 80% ARR cohort share as AI ARR</x:v>
      </x:c>
    </x:row>
    <x:row r="15">
      <x:c r="A15" s="66" t="str">
        <x:v>TOTAL / CHECK</x:v>
      </x:c>
      <x:c r="B15" s="66"/>
      <x:c r="C15" s="66"/>
      <x:c r="D15" s="67" t="n">
        <x:f>SUM(D7:D14)</x:f>
        <x:v>0</x:v>
      </x:c>
      <x:c r="E15" s="67" t="n">
        <x:f>SUM(E7:E14)</x:f>
        <x:v>0</x:v>
      </x:c>
      <x:c r="F15" s="68" t="n">
        <x:f>SUM(F7:F14)</x:f>
        <x:v>0</x:v>
      </x:c>
      <x:c r="G15" s="68" t="n">
        <x:f>SUM(G7:G14)</x:f>
        <x:v>0</x:v>
      </x:c>
      <x:c r="H15" s="67" t="str">
        <x:f>IFERROR(1-G15/F15,"")</x:f>
      </x:c>
      <x:c r="I15" s="71" t="str">
        <x:v>Revenue and COGS allocations should each sum to 100%</x:v>
      </x:c>
    </x:row>
    <x:row r="18">
      <x:c r="A18" s="55" t="str">
        <x:v>Minimum data still needed for decision-grade product margin</x:v>
      </x:c>
      <x:c r="B18" s="55"/>
      <x:c r="C18" s="55"/>
      <x:c r="D18" s="55"/>
      <x:c r="E18" s="55"/>
      <x:c r="F18" s="55"/>
      <x:c r="G18" s="55"/>
      <x:c r="H18" s="55"/>
      <x:c r="I18" s="55"/>
    </x:row>
    <x:row r="19">
      <x:c r="A19" s="12" t="str">
        <x:v>Needed input</x:v>
      </x:c>
      <x:c r="B19" s="12" t="str">
        <x:v>Publicly available?</x:v>
      </x:c>
      <x:c r="C19" s="12" t="str">
        <x:v>Best public proxy</x:v>
      </x:c>
      <x:c r="D19" s="12" t="str">
        <x:v>Why insufficient</x:v>
      </x:c>
      <x:c r="E19" s="12" t="str">
        <x:v>Owner / next action</x:v>
      </x:c>
      <x:c r="F19" s="12" t="str">
        <x:v>Priority</x:v>
      </x:c>
      <x:c r="G19" s="12" t="str">
        <x:v>Source ID</x:v>
      </x:c>
      <x:c r="H19" s="12" t="str">
        <x:v>Status</x:v>
      </x:c>
      <x:c r="I19" s="12" t="str">
        <x:v>Notes</x:v>
      </x:c>
    </x:row>
    <x:row r="20">
      <x:c r="A20" s="43" t="str">
        <x:v>Product-level recognized revenue</x:v>
      </x:c>
      <x:c r="B20" s="43" t="str">
        <x:v>No</x:v>
      </x:c>
      <x:c r="C20" s="43" t="str">
        <x:v>ARR lower bounds + adoption + current price list</x:v>
      </x:c>
      <x:c r="D20" s="43" t="str">
        <x:v>ARR is rounded, sparse and not equivalent to recognized revenue</x:v>
      </x:c>
      <x:c r="E20" s="43" t="str">
        <x:v>IR / management diligence</x:v>
      </x:c>
      <x:c r="F20" s="43" t="str">
        <x:v>Blocker</x:v>
      </x:c>
      <x:c r="G20" s="43" t="str">
        <x:v>10K-2025</x:v>
      </x:c>
      <x:c r="H20" s="43" t="str">
        <x:v>Open</x:v>
      </x:c>
      <x:c r="I20" s="43" t="str"/>
    </x:row>
    <x:row r="21">
      <x:c r="A21" s="43" t="str">
        <x:v>Product-level cloud consumption / hosting cost</x:v>
      </x:c>
      <x:c r="B21" s="43" t="str">
        <x:v>No</x:v>
      </x:c>
      <x:c r="C21" s="43" t="str">
        <x:v>Pricing unit and product data intensity</x:v>
      </x:c>
      <x:c r="D21" s="43" t="str">
        <x:v>No disclosed usage volumes or unit cloud cost</x:v>
      </x:c>
      <x:c r="E21" s="43" t="str">
        <x:v>Telemetry / finance data</x:v>
      </x:c>
      <x:c r="F21" s="43" t="str">
        <x:v>Blocker</x:v>
      </x:c>
      <x:c r="G21" s="43" t="str">
        <x:v>10K-2025</x:v>
      </x:c>
      <x:c r="H21" s="43" t="str">
        <x:v>Open</x:v>
      </x:c>
      <x:c r="I21" s="43" t="str"/>
    </x:row>
    <x:row r="22">
      <x:c r="A22" s="43" t="str">
        <x:v>Shared platform cost allocation policy</x:v>
      </x:c>
      <x:c r="B22" s="43" t="str">
        <x:v>No</x:v>
      </x:c>
      <x:c r="C22" s="43" t="str">
        <x:v>Consolidated cost components</x:v>
      </x:c>
      <x:c r="D22" s="43" t="str">
        <x:v>Common ingestion/storage/compute cannot be attributed publicly</x:v>
      </x:c>
      <x:c r="E22" s="43" t="str">
        <x:v>Finance policy</x:v>
      </x:c>
      <x:c r="F22" s="43" t="str">
        <x:v>Blocker</x:v>
      </x:c>
      <x:c r="G22" s="43" t="str">
        <x:v>10K-2025</x:v>
      </x:c>
      <x:c r="H22" s="43" t="str">
        <x:v>Open</x:v>
      </x:c>
      <x:c r="I22" s="43" t="str"/>
    </x:row>
    <x:row r="23">
      <x:c r="A23" s="43" t="str">
        <x:v>Support and operations effort by product</x:v>
      </x:c>
      <x:c r="B23" s="43" t="str">
        <x:v>No</x:v>
      </x:c>
      <x:c r="C23" s="43" t="str">
        <x:v>Customer and product adoption</x:v>
      </x:c>
      <x:c r="D23" s="43" t="str">
        <x:v>Adoption does not measure ticket load or engineering effort</x:v>
      </x:c>
      <x:c r="E23" s="43" t="str">
        <x:v>Support ops data</x:v>
      </x:c>
      <x:c r="F23" s="43" t="str">
        <x:v>High</x:v>
      </x:c>
      <x:c r="G23" s="43" t="str">
        <x:v>10K-2025</x:v>
      </x:c>
      <x:c r="H23" s="43" t="str">
        <x:v>Open</x:v>
      </x:c>
      <x:c r="I23" s="43" t="str"/>
    </x:row>
    <x:row r="24">
      <x:c r="A24" s="45" t="str">
        <x:v>Historical realized pricing / discounts</x:v>
      </x:c>
      <x:c r="B24" s="45" t="str">
        <x:v>No</x:v>
      </x:c>
      <x:c r="C24" s="45" t="str">
        <x:v>Current public list pricing</x:v>
      </x:c>
      <x:c r="D24" s="45" t="str">
        <x:v>List price snapshot ignores contracts, usage tiers, discounts and changes</x:v>
      </x:c>
      <x:c r="E24" s="45" t="str">
        <x:v>Billing data / deal desk</x:v>
      </x:c>
      <x:c r="F24" s="45" t="str">
        <x:v>High</x:v>
      </x:c>
      <x:c r="G24" s="45" t="str">
        <x:v>PRICE-20260731</x:v>
      </x:c>
      <x:c r="H24" s="45" t="str">
        <x:v>Open</x:v>
      </x:c>
      <x:c r="I24" s="45" t="str"/>
    </x:row>
  </x:sheetData>
  <x:mergeCells>
    <x:mergeCell ref="A1:I2"/>
    <x:mergeCell ref="A3:I3"/>
    <x:mergeCell ref="A5:I5"/>
    <x:mergeCell ref="A18:I1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25" hidden="0" customWidth="1"/>
    <x:col min="3" max="3" width="13.890000343322754" hidden="0" customWidth="1"/>
    <x:col min="4" max="4" width="11.670000076293945" hidden="0" customWidth="1"/>
    <x:col min="5" max="5" width="10.220000267028809" hidden="0" customWidth="1"/>
    <x:col min="6" max="6" width="10.220000267028809" hidden="0" customWidth="1"/>
    <x:col min="7" max="7" width="14.4399995803833" hidden="0" customWidth="1"/>
    <x:col min="8" max="8" width="30" hidden="0" customWidth="1"/>
    <x:col min="9" max="9" width="31.670000076293945" hidden="0" customWidth="1"/>
    <x:col min="10" max="10" width="9.109999656677246" hidden="0" customWidth="1"/>
    <x:col min="11" max="11" width="27.780000686645508" hidden="0" customWidth="1"/>
  </x:cols>
  <x:sheetData>
    <x:row r="1" ht="28" customHeight="1">
      <x:c r="A1" s="126" t="str">
        <x:v>Source index &amp; verification trail</x:v>
      </x:c>
      <x:c r="B1" s="3"/>
      <x:c r="C1" s="3"/>
      <x:c r="D1" s="3"/>
      <x:c r="E1" s="3"/>
      <x:c r="F1" s="3"/>
      <x:c r="G1" s="3"/>
      <x:c r="H1" s="3"/>
      <x:c r="I1" s="3"/>
      <x:c r="J1" s="3"/>
      <x:c r="K1" s="3"/>
    </x:row>
    <x:row r="2" ht="28" customHeight="1">
      <x:c r="A2" s="3"/>
      <x:c r="B2" s="3"/>
      <x:c r="C2" s="3"/>
      <x:c r="D2" s="3"/>
      <x:c r="E2" s="3"/>
      <x:c r="F2" s="3"/>
      <x:c r="G2" s="3"/>
      <x:c r="H2" s="3"/>
      <x:c r="I2" s="3"/>
      <x:c r="J2" s="3"/>
      <x:c r="K2" s="3"/>
    </x:row>
    <x:row r="3" ht="30" customHeight="1">
      <x:c r="A3" s="127" t="str">
        <x:v>Every major claim in this workbook resolves to a stable Source ID. Verification method records whether the fact was tied to SEC XBRL, a filed exhibit, a filed report, or an official IR transcript.</x:v>
      </x:c>
      <x:c r="B3" s="7"/>
      <x:c r="C3" s="7"/>
      <x:c r="D3" s="7"/>
      <x:c r="E3" s="7"/>
      <x:c r="F3" s="7"/>
      <x:c r="G3" s="7"/>
      <x:c r="H3" s="7"/>
      <x:c r="I3" s="7"/>
      <x:c r="J3" s="7"/>
      <x:c r="K3" s="7"/>
    </x:row>
    <x:row r="5">
      <x:c r="A5" s="12" t="str">
        <x:v>Source ID</x:v>
      </x:c>
      <x:c r="B5" s="12" t="str">
        <x:v>Source</x:v>
      </x:c>
      <x:c r="C5" s="12" t="str">
        <x:v>Type</x:v>
      </x:c>
      <x:c r="D5" s="12" t="str">
        <x:v>Period / as-of</x:v>
      </x:c>
      <x:c r="E5" s="12" t="str">
        <x:v>Filed / published</x:v>
      </x:c>
      <x:c r="F5" s="12" t="str">
        <x:v>Retrieved</x:v>
      </x:c>
      <x:c r="G5" s="12" t="str">
        <x:v>Evidence rank</x:v>
      </x:c>
      <x:c r="H5" s="12" t="str">
        <x:v>Verification method</x:v>
      </x:c>
      <x:c r="I5" s="12" t="str">
        <x:v>Official URL</x:v>
      </x:c>
      <x:c r="J5" s="12" t="str">
        <x:v>Status</x:v>
      </x:c>
      <x:c r="K5" s="12" t="str">
        <x:v>Notes</x:v>
      </x:c>
    </x:row>
    <x:row r="6">
      <x:c r="A6" s="15" t="str">
        <x:v>SEC-XBRL</x:v>
      </x:c>
      <x:c r="B6" s="15" t="str">
        <x:v>SEC Companyfacts — Datadog</x:v>
      </x:c>
      <x:c r="C6" s="15" t="str">
        <x:v>SEC XBRL API</x:v>
      </x:c>
      <x:c r="D6" s="15" t="str">
        <x:v>FY2018–2026Q1</x:v>
      </x:c>
      <x:c r="E6" s="17"/>
      <x:c r="F6" s="17" t="n">
        <x:v>46234</x:v>
      </x:c>
      <x:c r="G6" s="15" t="str">
        <x:v>Primary</x:v>
      </x:c>
      <x:c r="H6" s="43" t="str">
        <x:v>Cross-tag tie-out: revenue − COGS = gross profit; accession retained in raw collection</x:v>
      </x:c>
      <x:c r="I6" s="44" t="str">
        <x:v>https://data.sec.gov/api/xbrl/companyfacts/CIK0001561550.json</x:v>
      </x:c>
      <x:c r="J6" s="43" t="str">
        <x:v>Verified</x:v>
      </x:c>
      <x:c r="K6" s="43" t="str">
        <x:v>Quarterly Q4 derived from FY less Q1–Q3 except Q4 2019</x:v>
      </x:c>
    </x:row>
    <x:row r="7">
      <x:c r="A7" s="15" t="str">
        <x:v>10K-2019</x:v>
      </x:c>
      <x:c r="B7" s="15" t="str">
        <x:v>Datadog FY2019 Form 10-K</x:v>
      </x:c>
      <x:c r="C7" s="15" t="str">
        <x:v>SEC filing</x:v>
      </x:c>
      <x:c r="D7" s="15" t="str">
        <x:v>FY2019</x:v>
      </x:c>
      <x:c r="E7" s="17" t="n">
        <x:v>43886</x:v>
      </x:c>
      <x:c r="F7" s="17" t="n">
        <x:v>46234</x:v>
      </x:c>
      <x:c r="G7" s="15" t="str">
        <x:v>Primary</x:v>
      </x:c>
      <x:c r="H7" s="43" t="str">
        <x:v>Opened official SEC filing; financial statements and management commentary cross-checked</x:v>
      </x:c>
      <x:c r="I7" s="44" t="str">
        <x:v>https://www.sec.gov/Archives/edgar/data/1561550/000156459020006422/ddog-10k_20191231.htm</x:v>
      </x:c>
      <x:c r="J7" s="43" t="str">
        <x:v>Verified</x:v>
      </x:c>
      <x:c r="K7" s="43" t="str">
        <x:v>Annual gross-margin driver commentary</x:v>
      </x:c>
    </x:row>
    <x:row r="8">
      <x:c r="A8" s="15" t="str">
        <x:v>10K-2020</x:v>
      </x:c>
      <x:c r="B8" s="15" t="str">
        <x:v>Datadog FY2020 Form 10-K</x:v>
      </x:c>
      <x:c r="C8" s="15" t="str">
        <x:v>SEC filing</x:v>
      </x:c>
      <x:c r="D8" s="15" t="str">
        <x:v>FY2020</x:v>
      </x:c>
      <x:c r="E8" s="17" t="n">
        <x:v>44256</x:v>
      </x:c>
      <x:c r="F8" s="17" t="n">
        <x:v>46234</x:v>
      </x:c>
      <x:c r="G8" s="15" t="str">
        <x:v>Primary</x:v>
      </x:c>
      <x:c r="H8" s="43" t="str">
        <x:v>Opened official SEC filing; financial statements and management commentary cross-checked</x:v>
      </x:c>
      <x:c r="I8" s="44" t="str">
        <x:v>https://www.sec.gov/Archives/edgar/data/1561550/000156459021009770/ddog-10k_20201231.htm</x:v>
      </x:c>
      <x:c r="J8" s="43" t="str">
        <x:v>Verified</x:v>
      </x:c>
      <x:c r="K8" s="43" t="str">
        <x:v>Annual gross-margin driver commentary</x:v>
      </x:c>
    </x:row>
    <x:row r="9">
      <x:c r="A9" s="15" t="str">
        <x:v>10K-2021</x:v>
      </x:c>
      <x:c r="B9" s="15" t="str">
        <x:v>Datadog FY2021 Form 10-K</x:v>
      </x:c>
      <x:c r="C9" s="15" t="str">
        <x:v>SEC filing</x:v>
      </x:c>
      <x:c r="D9" s="15" t="str">
        <x:v>FY2021</x:v>
      </x:c>
      <x:c r="E9" s="17" t="n">
        <x:v>44617</x:v>
      </x:c>
      <x:c r="F9" s="17" t="n">
        <x:v>46234</x:v>
      </x:c>
      <x:c r="G9" s="15" t="str">
        <x:v>Primary</x:v>
      </x:c>
      <x:c r="H9" s="43" t="str">
        <x:v>Opened official SEC filing; financial statements and management commentary cross-checked</x:v>
      </x:c>
      <x:c r="I9" s="44" t="str">
        <x:v>https://www.sec.gov/Archives/edgar/data/1561550/000156155022000009/ddog-20211231.htm</x:v>
      </x:c>
      <x:c r="J9" s="43" t="str">
        <x:v>Verified</x:v>
      </x:c>
      <x:c r="K9" s="43" t="str">
        <x:v>Annual gross-margin driver commentary</x:v>
      </x:c>
    </x:row>
    <x:row r="10">
      <x:c r="A10" s="15" t="str">
        <x:v>10K-2022</x:v>
      </x:c>
      <x:c r="B10" s="15" t="str">
        <x:v>Datadog FY2022 Form 10-K</x:v>
      </x:c>
      <x:c r="C10" s="15" t="str">
        <x:v>SEC filing</x:v>
      </x:c>
      <x:c r="D10" s="15" t="str">
        <x:v>FY2022</x:v>
      </x:c>
      <x:c r="E10" s="17" t="n">
        <x:v>44981</x:v>
      </x:c>
      <x:c r="F10" s="17" t="n">
        <x:v>46234</x:v>
      </x:c>
      <x:c r="G10" s="15" t="str">
        <x:v>Primary</x:v>
      </x:c>
      <x:c r="H10" s="43" t="str">
        <x:v>Opened official SEC filing; financial statements and management commentary cross-checked</x:v>
      </x:c>
      <x:c r="I10" s="44" t="str">
        <x:v>https://www.sec.gov/Archives/edgar/data/1561550/000156155023000006/ddog-20221231.htm</x:v>
      </x:c>
      <x:c r="J10" s="43" t="str">
        <x:v>Verified</x:v>
      </x:c>
      <x:c r="K10" s="43" t="str">
        <x:v>Annual gross-margin driver commentary</x:v>
      </x:c>
    </x:row>
    <x:row r="11">
      <x:c r="A11" s="15" t="str">
        <x:v>10K-2023</x:v>
      </x:c>
      <x:c r="B11" s="15" t="str">
        <x:v>Datadog FY2023 Form 10-K</x:v>
      </x:c>
      <x:c r="C11" s="15" t="str">
        <x:v>SEC filing</x:v>
      </x:c>
      <x:c r="D11" s="15" t="str">
        <x:v>FY2023</x:v>
      </x:c>
      <x:c r="E11" s="17" t="n">
        <x:v>45345</x:v>
      </x:c>
      <x:c r="F11" s="17" t="n">
        <x:v>46234</x:v>
      </x:c>
      <x:c r="G11" s="15" t="str">
        <x:v>Primary</x:v>
      </x:c>
      <x:c r="H11" s="43" t="str">
        <x:v>Opened official SEC filing; financial statements and management commentary cross-checked</x:v>
      </x:c>
      <x:c r="I11" s="44" t="str">
        <x:v>https://www.sec.gov/Archives/edgar/data/1561550/000156155024000009/ddog-20231231.htm</x:v>
      </x:c>
      <x:c r="J11" s="43" t="str">
        <x:v>Verified</x:v>
      </x:c>
      <x:c r="K11" s="43" t="str">
        <x:v>Annual gross-margin driver commentary</x:v>
      </x:c>
    </x:row>
    <x:row r="12">
      <x:c r="A12" s="15" t="str">
        <x:v>10K-2024</x:v>
      </x:c>
      <x:c r="B12" s="15" t="str">
        <x:v>Datadog FY2024 Form 10-K</x:v>
      </x:c>
      <x:c r="C12" s="15" t="str">
        <x:v>SEC filing</x:v>
      </x:c>
      <x:c r="D12" s="15" t="str">
        <x:v>FY2024</x:v>
      </x:c>
      <x:c r="E12" s="17" t="n">
        <x:v>45708</x:v>
      </x:c>
      <x:c r="F12" s="17" t="n">
        <x:v>46234</x:v>
      </x:c>
      <x:c r="G12" s="15" t="str">
        <x:v>Primary</x:v>
      </x:c>
      <x:c r="H12" s="43" t="str">
        <x:v>Opened official SEC filing; financial statements and management commentary cross-checked</x:v>
      </x:c>
      <x:c r="I12" s="44" t="str">
        <x:v>https://www.sec.gov/Archives/edgar/data/1561550/000156155025000025/ddog-20241231.htm</x:v>
      </x:c>
      <x:c r="J12" s="43" t="str">
        <x:v>Verified</x:v>
      </x:c>
      <x:c r="K12" s="43" t="str">
        <x:v>Annual gross-margin driver commentary</x:v>
      </x:c>
    </x:row>
    <x:row r="13">
      <x:c r="A13" s="15" t="str">
        <x:v>10K-2025</x:v>
      </x:c>
      <x:c r="B13" s="15" t="str">
        <x:v>Datadog FY2025 Form 10-K</x:v>
      </x:c>
      <x:c r="C13" s="15" t="str">
        <x:v>SEC filing</x:v>
      </x:c>
      <x:c r="D13" s="15" t="str">
        <x:v>FY2025</x:v>
      </x:c>
      <x:c r="E13" s="17" t="n">
        <x:v>46071</x:v>
      </x:c>
      <x:c r="F13" s="17" t="n">
        <x:v>46234</x:v>
      </x:c>
      <x:c r="G13" s="15" t="str">
        <x:v>Primary</x:v>
      </x:c>
      <x:c r="H13" s="43" t="str">
        <x:v>Opened official SEC filing; financial statements and management commentary cross-checked</x:v>
      </x:c>
      <x:c r="I13" s="44" t="str">
        <x:v>https://www.sec.gov/Archives/edgar/data/1561550/000162828026008819/ddog-20251231.htm</x:v>
      </x:c>
      <x:c r="J13" s="43" t="str">
        <x:v>Verified</x:v>
      </x:c>
      <x:c r="K13" s="43" t="str">
        <x:v>Single reportable segment and consolidated CODM measure confirmed</x:v>
      </x:c>
    </x:row>
    <x:row r="14">
      <x:c r="A14" s="15" t="str">
        <x:v>ER-2019Q3</x:v>
      </x:c>
      <x:c r="B14" s="15" t="str">
        <x:v>Datadog 2019Q3 earnings release</x:v>
      </x:c>
      <x:c r="C14" s="15" t="str">
        <x:v>SEC filed exhibit</x:v>
      </x:c>
      <x:c r="D14" s="15" t="str">
        <x:v>2019Q3</x:v>
      </x:c>
      <x:c r="E14" s="17" t="n">
        <x:v>43781</x:v>
      </x:c>
      <x:c r="F14" s="17" t="n">
        <x:v>46234</x:v>
      </x:c>
      <x:c r="G14" s="15" t="str">
        <x:v>Primary</x:v>
      </x:c>
      <x:c r="H14" s="43" t="str">
        <x:v>Official SEC exhibit table parsed; GAAP gross profit cross-checked against SEC facts</x:v>
      </x:c>
      <x:c r="I14" s="44" t="str">
        <x:v>https://www.sec.gov/Archives/edgar/data/1561550/000156459019042935/ddog-ex991_6.htm</x:v>
      </x:c>
      <x:c r="J14" s="43" t="str">
        <x:v>Verified</x:v>
      </x:c>
      <x:c r="K14" s="43" t="str">
        <x:v>Source of non-GAAP gross profit and large-customer KPI</x:v>
      </x:c>
    </x:row>
    <x:row r="15">
      <x:c r="A15" s="15" t="str">
        <x:v>ER-2019Q4</x:v>
      </x:c>
      <x:c r="B15" s="15" t="str">
        <x:v>Datadog 2019Q4 earnings release</x:v>
      </x:c>
      <x:c r="C15" s="15" t="str">
        <x:v>SEC filed exhibit</x:v>
      </x:c>
      <x:c r="D15" s="15" t="str">
        <x:v>2019Q4</x:v>
      </x:c>
      <x:c r="E15" s="17" t="n">
        <x:v>43874</x:v>
      </x:c>
      <x:c r="F15" s="17" t="n">
        <x:v>46234</x:v>
      </x:c>
      <x:c r="G15" s="15" t="str">
        <x:v>Primary</x:v>
      </x:c>
      <x:c r="H15" s="43" t="str">
        <x:v>Official SEC exhibit table parsed; GAAP gross profit cross-checked against SEC facts</x:v>
      </x:c>
      <x:c r="I15" s="44" t="str">
        <x:v>https://www.sec.gov/Archives/edgar/data/1561550/000156459020004607/ddog-ex991_6.htm</x:v>
      </x:c>
      <x:c r="J15" s="43" t="str">
        <x:v>Verified</x:v>
      </x:c>
      <x:c r="K15" s="43" t="str">
        <x:v>Source of non-GAAP gross profit and large-customer KPI</x:v>
      </x:c>
    </x:row>
    <x:row r="16">
      <x:c r="A16" s="15" t="str">
        <x:v>ER-2020Q1</x:v>
      </x:c>
      <x:c r="B16" s="15" t="str">
        <x:v>Datadog 2020Q1 earnings release</x:v>
      </x:c>
      <x:c r="C16" s="15" t="str">
        <x:v>SEC filed exhibit</x:v>
      </x:c>
      <x:c r="D16" s="15" t="str">
        <x:v>2020Q1</x:v>
      </x:c>
      <x:c r="E16" s="17" t="n">
        <x:v>43962</x:v>
      </x:c>
      <x:c r="F16" s="17" t="n">
        <x:v>46234</x:v>
      </x:c>
      <x:c r="G16" s="15" t="str">
        <x:v>Primary</x:v>
      </x:c>
      <x:c r="H16" s="43" t="str">
        <x:v>Official SEC exhibit table parsed; GAAP gross profit cross-checked against SEC facts</x:v>
      </x:c>
      <x:c r="I16" s="44" t="str">
        <x:v>https://www.sec.gov/Archives/edgar/data/1561550/000156459020024231/ddog-ex991_6.htm</x:v>
      </x:c>
      <x:c r="J16" s="43" t="str">
        <x:v>Verified</x:v>
      </x:c>
      <x:c r="K16" s="43" t="str">
        <x:v>Source of non-GAAP gross profit and large-customer KPI</x:v>
      </x:c>
    </x:row>
    <x:row r="17">
      <x:c r="A17" s="15" t="str">
        <x:v>ER-2020Q2</x:v>
      </x:c>
      <x:c r="B17" s="15" t="str">
        <x:v>Datadog 2020Q2 earnings release</x:v>
      </x:c>
      <x:c r="C17" s="15" t="str">
        <x:v>SEC filed exhibit</x:v>
      </x:c>
      <x:c r="D17" s="15" t="str">
        <x:v>2020Q2</x:v>
      </x:c>
      <x:c r="E17" s="17" t="n">
        <x:v>44049</x:v>
      </x:c>
      <x:c r="F17" s="17" t="n">
        <x:v>46234</x:v>
      </x:c>
      <x:c r="G17" s="15" t="str">
        <x:v>Primary</x:v>
      </x:c>
      <x:c r="H17" s="43" t="str">
        <x:v>Official SEC exhibit table parsed; GAAP gross profit cross-checked against SEC facts</x:v>
      </x:c>
      <x:c r="I17" s="44" t="str">
        <x:v>https://www.sec.gov/Archives/edgar/data/1561550/000156459020037808/ddog-ex991_6.htm</x:v>
      </x:c>
      <x:c r="J17" s="43" t="str">
        <x:v>Verified</x:v>
      </x:c>
      <x:c r="K17" s="43" t="str">
        <x:v>Source of non-GAAP gross profit and large-customer KPI</x:v>
      </x:c>
    </x:row>
    <x:row r="18">
      <x:c r="A18" s="15" t="str">
        <x:v>ER-2020Q3</x:v>
      </x:c>
      <x:c r="B18" s="15" t="str">
        <x:v>Datadog 2020Q3 earnings release</x:v>
      </x:c>
      <x:c r="C18" s="15" t="str">
        <x:v>SEC filed exhibit</x:v>
      </x:c>
      <x:c r="D18" s="15" t="str">
        <x:v>2020Q3</x:v>
      </x:c>
      <x:c r="E18" s="17" t="n">
        <x:v>44145</x:v>
      </x:c>
      <x:c r="F18" s="17" t="n">
        <x:v>46234</x:v>
      </x:c>
      <x:c r="G18" s="15" t="str">
        <x:v>Primary</x:v>
      </x:c>
      <x:c r="H18" s="43" t="str">
        <x:v>Official SEC exhibit table parsed; GAAP gross profit cross-checked against SEC facts</x:v>
      </x:c>
      <x:c r="I18" s="44" t="str">
        <x:v>https://www.sec.gov/Archives/edgar/data/1561550/000156459020052986/ddog-ex991_6.htm</x:v>
      </x:c>
      <x:c r="J18" s="43" t="str">
        <x:v>Verified</x:v>
      </x:c>
      <x:c r="K18" s="43" t="str">
        <x:v>Source of non-GAAP gross profit and large-customer KPI</x:v>
      </x:c>
    </x:row>
    <x:row r="19">
      <x:c r="A19" s="15" t="str">
        <x:v>ER-2020Q4</x:v>
      </x:c>
      <x:c r="B19" s="15" t="str">
        <x:v>Datadog 2020Q4 earnings release</x:v>
      </x:c>
      <x:c r="C19" s="15" t="str">
        <x:v>SEC filed exhibit</x:v>
      </x:c>
      <x:c r="D19" s="15" t="str">
        <x:v>2020Q4</x:v>
      </x:c>
      <x:c r="E19" s="17" t="n">
        <x:v>44238</x:v>
      </x:c>
      <x:c r="F19" s="17" t="n">
        <x:v>46234</x:v>
      </x:c>
      <x:c r="G19" s="15" t="str">
        <x:v>Primary</x:v>
      </x:c>
      <x:c r="H19" s="43" t="str">
        <x:v>Official SEC exhibit table parsed; GAAP gross profit cross-checked against SEC facts</x:v>
      </x:c>
      <x:c r="I19" s="44" t="str">
        <x:v>https://www.sec.gov/Archives/edgar/data/1561550/000156459021005553/ddog-ex991_6.htm</x:v>
      </x:c>
      <x:c r="J19" s="43" t="str">
        <x:v>Verified</x:v>
      </x:c>
      <x:c r="K19" s="43" t="str">
        <x:v>Source of non-GAAP gross profit and large-customer KPI</x:v>
      </x:c>
    </x:row>
    <x:row r="20">
      <x:c r="A20" s="15" t="str">
        <x:v>ER-2021Q1</x:v>
      </x:c>
      <x:c r="B20" s="15" t="str">
        <x:v>Datadog 2021Q1 earnings release</x:v>
      </x:c>
      <x:c r="C20" s="15" t="str">
        <x:v>SEC filed exhibit</x:v>
      </x:c>
      <x:c r="D20" s="15" t="str">
        <x:v>2021Q1</x:v>
      </x:c>
      <x:c r="E20" s="17" t="n">
        <x:v>44322</x:v>
      </x:c>
      <x:c r="F20" s="17" t="n">
        <x:v>46234</x:v>
      </x:c>
      <x:c r="G20" s="15" t="str">
        <x:v>Primary</x:v>
      </x:c>
      <x:c r="H20" s="43" t="str">
        <x:v>Official SEC exhibit table parsed; GAAP gross profit cross-checked against SEC facts</x:v>
      </x:c>
      <x:c r="I20" s="44" t="str">
        <x:v>https://www.sec.gov/Archives/edgar/data/1561550/000156155021000004/ex-991x20210331x8k.htm</x:v>
      </x:c>
      <x:c r="J20" s="43" t="str">
        <x:v>Verified</x:v>
      </x:c>
      <x:c r="K20" s="43" t="str">
        <x:v>Source of non-GAAP gross profit and large-customer KPI</x:v>
      </x:c>
    </x:row>
    <x:row r="21">
      <x:c r="A21" s="15" t="str">
        <x:v>ER-2021Q2</x:v>
      </x:c>
      <x:c r="B21" s="15" t="str">
        <x:v>Datadog 2021Q2 earnings release</x:v>
      </x:c>
      <x:c r="C21" s="15" t="str">
        <x:v>SEC filed exhibit</x:v>
      </x:c>
      <x:c r="D21" s="15" t="str">
        <x:v>2021Q2</x:v>
      </x:c>
      <x:c r="E21" s="17" t="n">
        <x:v>44413</x:v>
      </x:c>
      <x:c r="F21" s="17" t="n">
        <x:v>46234</x:v>
      </x:c>
      <x:c r="G21" s="15" t="str">
        <x:v>Primary</x:v>
      </x:c>
      <x:c r="H21" s="43" t="str">
        <x:v>Official SEC exhibit table parsed; GAAP gross profit cross-checked against SEC facts</x:v>
      </x:c>
      <x:c r="I21" s="44" t="str">
        <x:v>https://www.sec.gov/Archives/edgar/data/1561550/000156155021000015/ex-991x20210630x8k.htm</x:v>
      </x:c>
      <x:c r="J21" s="43" t="str">
        <x:v>Verified</x:v>
      </x:c>
      <x:c r="K21" s="43" t="str">
        <x:v>Source of non-GAAP gross profit and large-customer KPI</x:v>
      </x:c>
    </x:row>
    <x:row r="22">
      <x:c r="A22" s="15" t="str">
        <x:v>ER-2021Q3</x:v>
      </x:c>
      <x:c r="B22" s="15" t="str">
        <x:v>Datadog 2021Q3 earnings release</x:v>
      </x:c>
      <x:c r="C22" s="15" t="str">
        <x:v>SEC filed exhibit</x:v>
      </x:c>
      <x:c r="D22" s="15" t="str">
        <x:v>2021Q3</x:v>
      </x:c>
      <x:c r="E22" s="17" t="n">
        <x:v>44504</x:v>
      </x:c>
      <x:c r="F22" s="17" t="n">
        <x:v>46234</x:v>
      </x:c>
      <x:c r="G22" s="15" t="str">
        <x:v>Primary</x:v>
      </x:c>
      <x:c r="H22" s="43" t="str">
        <x:v>Official SEC exhibit table parsed; GAAP gross profit cross-checked against SEC facts</x:v>
      </x:c>
      <x:c r="I22" s="44" t="str">
        <x:v>https://www.sec.gov/Archives/edgar/data/1561550/000156155021000024/ex-991x20210930x8k.htm</x:v>
      </x:c>
      <x:c r="J22" s="43" t="str">
        <x:v>Verified</x:v>
      </x:c>
      <x:c r="K22" s="43" t="str">
        <x:v>Source of non-GAAP gross profit and large-customer KPI</x:v>
      </x:c>
    </x:row>
    <x:row r="23">
      <x:c r="A23" s="15" t="str">
        <x:v>ER-2021Q4</x:v>
      </x:c>
      <x:c r="B23" s="15" t="str">
        <x:v>Datadog 2021Q4 earnings release</x:v>
      </x:c>
      <x:c r="C23" s="15" t="str">
        <x:v>SEC filed exhibit</x:v>
      </x:c>
      <x:c r="D23" s="15" t="str">
        <x:v>2021Q4</x:v>
      </x:c>
      <x:c r="E23" s="17" t="n">
        <x:v>44602</x:v>
      </x:c>
      <x:c r="F23" s="17" t="n">
        <x:v>46234</x:v>
      </x:c>
      <x:c r="G23" s="15" t="str">
        <x:v>Primary</x:v>
      </x:c>
      <x:c r="H23" s="43" t="str">
        <x:v>Official SEC exhibit table parsed; GAAP gross profit cross-checked against SEC facts</x:v>
      </x:c>
      <x:c r="I23" s="44" t="str">
        <x:v>https://www.sec.gov/Archives/edgar/data/1561550/000156155022000004/ex-991x20211231x8k.htm</x:v>
      </x:c>
      <x:c r="J23" s="43" t="str">
        <x:v>Verified</x:v>
      </x:c>
      <x:c r="K23" s="43" t="str">
        <x:v>Source of non-GAAP gross profit and large-customer KPI</x:v>
      </x:c>
    </x:row>
    <x:row r="24">
      <x:c r="A24" s="15" t="str">
        <x:v>ER-2022Q1</x:v>
      </x:c>
      <x:c r="B24" s="15" t="str">
        <x:v>Datadog 2022Q1 earnings release</x:v>
      </x:c>
      <x:c r="C24" s="15" t="str">
        <x:v>SEC filed exhibit</x:v>
      </x:c>
      <x:c r="D24" s="15" t="str">
        <x:v>2022Q1</x:v>
      </x:c>
      <x:c r="E24" s="17" t="n">
        <x:v>44686</x:v>
      </x:c>
      <x:c r="F24" s="17" t="n">
        <x:v>46234</x:v>
      </x:c>
      <x:c r="G24" s="15" t="str">
        <x:v>Primary</x:v>
      </x:c>
      <x:c r="H24" s="43" t="str">
        <x:v>Official SEC exhibit table parsed; GAAP gross profit cross-checked against SEC facts</x:v>
      </x:c>
      <x:c r="I24" s="44" t="str">
        <x:v>https://www.sec.gov/Archives/edgar/data/1561550/000156155022000023/ex-991x20220331x8k.htm</x:v>
      </x:c>
      <x:c r="J24" s="43" t="str">
        <x:v>Verified</x:v>
      </x:c>
      <x:c r="K24" s="43" t="str">
        <x:v>Source of non-GAAP gross profit and large-customer KPI</x:v>
      </x:c>
    </x:row>
    <x:row r="25">
      <x:c r="A25" s="15" t="str">
        <x:v>ER-2022Q2</x:v>
      </x:c>
      <x:c r="B25" s="15" t="str">
        <x:v>Datadog 2022Q2 earnings release</x:v>
      </x:c>
      <x:c r="C25" s="15" t="str">
        <x:v>SEC filed exhibit</x:v>
      </x:c>
      <x:c r="D25" s="15" t="str">
        <x:v>2022Q2</x:v>
      </x:c>
      <x:c r="E25" s="17" t="n">
        <x:v>44777</x:v>
      </x:c>
      <x:c r="F25" s="17" t="n">
        <x:v>46234</x:v>
      </x:c>
      <x:c r="G25" s="15" t="str">
        <x:v>Primary</x:v>
      </x:c>
      <x:c r="H25" s="43" t="str">
        <x:v>Official SEC exhibit table parsed; GAAP gross profit cross-checked against SEC facts</x:v>
      </x:c>
      <x:c r="I25" s="44" t="str">
        <x:v>https://www.sec.gov/Archives/edgar/data/1561550/000156155022000033/ex-991x20220630x8k.htm</x:v>
      </x:c>
      <x:c r="J25" s="43" t="str">
        <x:v>Verified</x:v>
      </x:c>
      <x:c r="K25" s="43" t="str">
        <x:v>Source of non-GAAP gross profit and large-customer KPI</x:v>
      </x:c>
    </x:row>
    <x:row r="26">
      <x:c r="A26" s="15" t="str">
        <x:v>ER-2022Q3</x:v>
      </x:c>
      <x:c r="B26" s="15" t="str">
        <x:v>Datadog 2022Q3 earnings release</x:v>
      </x:c>
      <x:c r="C26" s="15" t="str">
        <x:v>SEC filed exhibit</x:v>
      </x:c>
      <x:c r="D26" s="15" t="str">
        <x:v>2022Q3</x:v>
      </x:c>
      <x:c r="E26" s="17" t="n">
        <x:v>44868</x:v>
      </x:c>
      <x:c r="F26" s="17" t="n">
        <x:v>46234</x:v>
      </x:c>
      <x:c r="G26" s="15" t="str">
        <x:v>Primary</x:v>
      </x:c>
      <x:c r="H26" s="43" t="str">
        <x:v>Official SEC exhibit table parsed; GAAP gross profit cross-checked against SEC facts</x:v>
      </x:c>
      <x:c r="I26" s="44" t="str">
        <x:v>https://www.sec.gov/Archives/edgar/data/1561550/000156155022000043/ex-991x20220930x8k.htm</x:v>
      </x:c>
      <x:c r="J26" s="43" t="str">
        <x:v>Verified</x:v>
      </x:c>
      <x:c r="K26" s="43" t="str">
        <x:v>Source of non-GAAP gross profit and large-customer KPI</x:v>
      </x:c>
    </x:row>
    <x:row r="27">
      <x:c r="A27" s="15" t="str">
        <x:v>ER-2022Q4</x:v>
      </x:c>
      <x:c r="B27" s="15" t="str">
        <x:v>Datadog 2022Q4 earnings release</x:v>
      </x:c>
      <x:c r="C27" s="15" t="str">
        <x:v>SEC filed exhibit</x:v>
      </x:c>
      <x:c r="D27" s="15" t="str">
        <x:v>2022Q4</x:v>
      </x:c>
      <x:c r="E27" s="17" t="n">
        <x:v>44973</x:v>
      </x:c>
      <x:c r="F27" s="17" t="n">
        <x:v>46234</x:v>
      </x:c>
      <x:c r="G27" s="15" t="str">
        <x:v>Primary</x:v>
      </x:c>
      <x:c r="H27" s="43" t="str">
        <x:v>Official SEC exhibit table parsed; GAAP gross profit cross-checked against SEC facts</x:v>
      </x:c>
      <x:c r="I27" s="44" t="str">
        <x:v>https://www.sec.gov/Archives/edgar/data/1561550/000156155023000003/ex-991x20221231x8k.htm</x:v>
      </x:c>
      <x:c r="J27" s="43" t="str">
        <x:v>Verified</x:v>
      </x:c>
      <x:c r="K27" s="43" t="str">
        <x:v>Source of non-GAAP gross profit and large-customer KPI</x:v>
      </x:c>
    </x:row>
    <x:row r="28">
      <x:c r="A28" s="15" t="str">
        <x:v>ER-2023Q1</x:v>
      </x:c>
      <x:c r="B28" s="15" t="str">
        <x:v>Datadog 2023Q1 earnings release</x:v>
      </x:c>
      <x:c r="C28" s="15" t="str">
        <x:v>SEC filed exhibit</x:v>
      </x:c>
      <x:c r="D28" s="15" t="str">
        <x:v>2023Q1</x:v>
      </x:c>
      <x:c r="E28" s="17" t="n">
        <x:v>45050</x:v>
      </x:c>
      <x:c r="F28" s="17" t="n">
        <x:v>46234</x:v>
      </x:c>
      <x:c r="G28" s="15" t="str">
        <x:v>Primary</x:v>
      </x:c>
      <x:c r="H28" s="43" t="str">
        <x:v>Official SEC exhibit table parsed; GAAP gross profit cross-checked against SEC facts</x:v>
      </x:c>
      <x:c r="I28" s="44" t="str">
        <x:v>https://www.sec.gov/Archives/edgar/data/1561550/000156155023000020/ex-991x20230331x8k.htm</x:v>
      </x:c>
      <x:c r="J28" s="43" t="str">
        <x:v>Verified</x:v>
      </x:c>
      <x:c r="K28" s="43" t="str">
        <x:v>Source of non-GAAP gross profit and large-customer KPI</x:v>
      </x:c>
    </x:row>
    <x:row r="29">
      <x:c r="A29" s="15" t="str">
        <x:v>ER-2023Q2</x:v>
      </x:c>
      <x:c r="B29" s="15" t="str">
        <x:v>Datadog 2023Q2 earnings release</x:v>
      </x:c>
      <x:c r="C29" s="15" t="str">
        <x:v>SEC filed exhibit</x:v>
      </x:c>
      <x:c r="D29" s="15" t="str">
        <x:v>2023Q2</x:v>
      </x:c>
      <x:c r="E29" s="17" t="n">
        <x:v>45146</x:v>
      </x:c>
      <x:c r="F29" s="17" t="n">
        <x:v>46234</x:v>
      </x:c>
      <x:c r="G29" s="15" t="str">
        <x:v>Primary</x:v>
      </x:c>
      <x:c r="H29" s="43" t="str">
        <x:v>Official SEC exhibit table parsed; GAAP gross profit cross-checked against SEC facts</x:v>
      </x:c>
      <x:c r="I29" s="44" t="str">
        <x:v>https://www.sec.gov/Archives/edgar/data/1561550/000156155023000035/ex-991x20230630x8k.htm</x:v>
      </x:c>
      <x:c r="J29" s="43" t="str">
        <x:v>Verified</x:v>
      </x:c>
      <x:c r="K29" s="43" t="str">
        <x:v>Source of non-GAAP gross profit and large-customer KPI</x:v>
      </x:c>
    </x:row>
    <x:row r="30">
      <x:c r="A30" s="15" t="str">
        <x:v>ER-2023Q3</x:v>
      </x:c>
      <x:c r="B30" s="15" t="str">
        <x:v>Datadog 2023Q3 earnings release</x:v>
      </x:c>
      <x:c r="C30" s="15" t="str">
        <x:v>SEC filed exhibit</x:v>
      </x:c>
      <x:c r="D30" s="15" t="str">
        <x:v>2023Q3</x:v>
      </x:c>
      <x:c r="E30" s="17" t="n">
        <x:v>45237</x:v>
      </x:c>
      <x:c r="F30" s="17" t="n">
        <x:v>46234</x:v>
      </x:c>
      <x:c r="G30" s="15" t="str">
        <x:v>Primary</x:v>
      </x:c>
      <x:c r="H30" s="43" t="str">
        <x:v>Official SEC exhibit table parsed; GAAP gross profit cross-checked against SEC facts</x:v>
      </x:c>
      <x:c r="I30" s="44" t="str">
        <x:v>https://www.sec.gov/Archives/edgar/data/1561550/000156155023000053/ex-991x20230930x8k.htm</x:v>
      </x:c>
      <x:c r="J30" s="43" t="str">
        <x:v>Verified</x:v>
      </x:c>
      <x:c r="K30" s="43" t="str">
        <x:v>Source of non-GAAP gross profit and large-customer KPI</x:v>
      </x:c>
    </x:row>
    <x:row r="31">
      <x:c r="A31" s="15" t="str">
        <x:v>ER-2023Q4</x:v>
      </x:c>
      <x:c r="B31" s="15" t="str">
        <x:v>Datadog 2023Q4 earnings release</x:v>
      </x:c>
      <x:c r="C31" s="15" t="str">
        <x:v>SEC filed exhibit</x:v>
      </x:c>
      <x:c r="D31" s="15" t="str">
        <x:v>2023Q4</x:v>
      </x:c>
      <x:c r="E31" s="17" t="n">
        <x:v>45335</x:v>
      </x:c>
      <x:c r="F31" s="17" t="n">
        <x:v>46234</x:v>
      </x:c>
      <x:c r="G31" s="15" t="str">
        <x:v>Primary</x:v>
      </x:c>
      <x:c r="H31" s="43" t="str">
        <x:v>Official SEC exhibit table parsed; GAAP gross profit cross-checked against SEC facts</x:v>
      </x:c>
      <x:c r="I31" s="44" t="str">
        <x:v>https://www.sec.gov/Archives/edgar/data/1561550/000156155024000004/ex-991x20231231x8k.htm</x:v>
      </x:c>
      <x:c r="J31" s="43" t="str">
        <x:v>Verified</x:v>
      </x:c>
      <x:c r="K31" s="43" t="str">
        <x:v>Source of non-GAAP gross profit and large-customer KPI</x:v>
      </x:c>
    </x:row>
    <x:row r="32">
      <x:c r="A32" s="15" t="str">
        <x:v>ER-2024Q1</x:v>
      </x:c>
      <x:c r="B32" s="15" t="str">
        <x:v>Datadog 2024Q1 earnings release</x:v>
      </x:c>
      <x:c r="C32" s="15" t="str">
        <x:v>SEC filed exhibit</x:v>
      </x:c>
      <x:c r="D32" s="15" t="str">
        <x:v>2024Q1</x:v>
      </x:c>
      <x:c r="E32" s="17" t="n">
        <x:v>45419</x:v>
      </x:c>
      <x:c r="F32" s="17" t="n">
        <x:v>46234</x:v>
      </x:c>
      <x:c r="G32" s="15" t="str">
        <x:v>Primary</x:v>
      </x:c>
      <x:c r="H32" s="43" t="str">
        <x:v>Official SEC exhibit table parsed; GAAP gross profit cross-checked against SEC facts</x:v>
      </x:c>
      <x:c r="I32" s="44" t="str">
        <x:v>https://www.sec.gov/Archives/edgar/data/1561550/000156155024000048/ex-991x20240331x8k.htm</x:v>
      </x:c>
      <x:c r="J32" s="43" t="str">
        <x:v>Verified</x:v>
      </x:c>
      <x:c r="K32" s="43" t="str">
        <x:v>Source of non-GAAP gross profit and large-customer KPI</x:v>
      </x:c>
    </x:row>
    <x:row r="33">
      <x:c r="A33" s="15" t="str">
        <x:v>ER-2024Q2</x:v>
      </x:c>
      <x:c r="B33" s="15" t="str">
        <x:v>Datadog 2024Q2 earnings release</x:v>
      </x:c>
      <x:c r="C33" s="15" t="str">
        <x:v>SEC filed exhibit</x:v>
      </x:c>
      <x:c r="D33" s="15" t="str">
        <x:v>2024Q2</x:v>
      </x:c>
      <x:c r="E33" s="17" t="n">
        <x:v>45512</x:v>
      </x:c>
      <x:c r="F33" s="17" t="n">
        <x:v>46234</x:v>
      </x:c>
      <x:c r="G33" s="15" t="str">
        <x:v>Primary</x:v>
      </x:c>
      <x:c r="H33" s="43" t="str">
        <x:v>Official SEC exhibit table parsed; GAAP gross profit cross-checked against SEC facts</x:v>
      </x:c>
      <x:c r="I33" s="44" t="str">
        <x:v>https://www.sec.gov/Archives/edgar/data/1561550/000156155024000109/ex-991x20240630x8k.htm</x:v>
      </x:c>
      <x:c r="J33" s="43" t="str">
        <x:v>Verified</x:v>
      </x:c>
      <x:c r="K33" s="43" t="str">
        <x:v>Source of non-GAAP gross profit and large-customer KPI</x:v>
      </x:c>
    </x:row>
    <x:row r="34">
      <x:c r="A34" s="15" t="str">
        <x:v>ER-2024Q3</x:v>
      </x:c>
      <x:c r="B34" s="15" t="str">
        <x:v>Datadog 2024Q3 earnings release</x:v>
      </x:c>
      <x:c r="C34" s="15" t="str">
        <x:v>SEC filed exhibit</x:v>
      </x:c>
      <x:c r="D34" s="15" t="str">
        <x:v>2024Q3</x:v>
      </x:c>
      <x:c r="E34" s="17" t="n">
        <x:v>45603</x:v>
      </x:c>
      <x:c r="F34" s="17" t="n">
        <x:v>46234</x:v>
      </x:c>
      <x:c r="G34" s="15" t="str">
        <x:v>Primary</x:v>
      </x:c>
      <x:c r="H34" s="43" t="str">
        <x:v>Official SEC exhibit table parsed; GAAP gross profit cross-checked against SEC facts</x:v>
      </x:c>
      <x:c r="I34" s="44" t="str">
        <x:v>https://www.sec.gov/Archives/edgar/data/1561550/000156155024000171/ex-991x20240930x8k.htm</x:v>
      </x:c>
      <x:c r="J34" s="43" t="str">
        <x:v>Verified</x:v>
      </x:c>
      <x:c r="K34" s="43" t="str">
        <x:v>Source of non-GAAP gross profit and large-customer KPI</x:v>
      </x:c>
    </x:row>
    <x:row r="35">
      <x:c r="A35" s="15" t="str">
        <x:v>ER-2024Q4</x:v>
      </x:c>
      <x:c r="B35" s="15" t="str">
        <x:v>Datadog 2024Q4 earnings release</x:v>
      </x:c>
      <x:c r="C35" s="15" t="str">
        <x:v>SEC filed exhibit</x:v>
      </x:c>
      <x:c r="D35" s="15" t="str">
        <x:v>2024Q4</x:v>
      </x:c>
      <x:c r="E35" s="17" t="n">
        <x:v>45701</x:v>
      </x:c>
      <x:c r="F35" s="17" t="n">
        <x:v>46234</x:v>
      </x:c>
      <x:c r="G35" s="15" t="str">
        <x:v>Primary</x:v>
      </x:c>
      <x:c r="H35" s="43" t="str">
        <x:v>Official SEC exhibit table parsed; GAAP gross profit cross-checked against SEC facts</x:v>
      </x:c>
      <x:c r="I35" s="44" t="str">
        <x:v>https://www.sec.gov/Archives/edgar/data/1561550/000156155025000017/ex-991x20241231x8k.htm</x:v>
      </x:c>
      <x:c r="J35" s="43" t="str">
        <x:v>Verified</x:v>
      </x:c>
      <x:c r="K35" s="43" t="str">
        <x:v>Source of non-GAAP gross profit and large-customer KPI</x:v>
      </x:c>
    </x:row>
    <x:row r="36">
      <x:c r="A36" s="15" t="str">
        <x:v>ER-2025Q1</x:v>
      </x:c>
      <x:c r="B36" s="15" t="str">
        <x:v>Datadog 2025Q1 earnings release</x:v>
      </x:c>
      <x:c r="C36" s="15" t="str">
        <x:v>SEC filed exhibit</x:v>
      </x:c>
      <x:c r="D36" s="15" t="str">
        <x:v>2025Q1</x:v>
      </x:c>
      <x:c r="E36" s="17" t="n">
        <x:v>45783</x:v>
      </x:c>
      <x:c r="F36" s="17" t="n">
        <x:v>46234</x:v>
      </x:c>
      <x:c r="G36" s="15" t="str">
        <x:v>Primary</x:v>
      </x:c>
      <x:c r="H36" s="43" t="str">
        <x:v>Official SEC exhibit table parsed; GAAP gross profit cross-checked against SEC facts</x:v>
      </x:c>
      <x:c r="I36" s="44" t="str">
        <x:v>https://www.sec.gov/Archives/edgar/data/1561550/000156155025000118/ex-991x20250331x8k.htm</x:v>
      </x:c>
      <x:c r="J36" s="43" t="str">
        <x:v>Verified</x:v>
      </x:c>
      <x:c r="K36" s="43" t="str">
        <x:v>Source of non-GAAP gross profit and large-customer KPI</x:v>
      </x:c>
    </x:row>
    <x:row r="37">
      <x:c r="A37" s="15" t="str">
        <x:v>ER-2025Q2</x:v>
      </x:c>
      <x:c r="B37" s="15" t="str">
        <x:v>Datadog 2025Q2 earnings release</x:v>
      </x:c>
      <x:c r="C37" s="15" t="str">
        <x:v>SEC filed exhibit</x:v>
      </x:c>
      <x:c r="D37" s="15" t="str">
        <x:v>2025Q2</x:v>
      </x:c>
      <x:c r="E37" s="17" t="n">
        <x:v>45876</x:v>
      </x:c>
      <x:c r="F37" s="17" t="n">
        <x:v>46234</x:v>
      </x:c>
      <x:c r="G37" s="15" t="str">
        <x:v>Primary</x:v>
      </x:c>
      <x:c r="H37" s="43" t="str">
        <x:v>Official SEC exhibit table parsed; GAAP gross profit cross-checked against SEC facts</x:v>
      </x:c>
      <x:c r="I37" s="44" t="str">
        <x:v>https://www.sec.gov/Archives/edgar/data/1561550/000156155025000216/ex-991x20250630x8k.htm</x:v>
      </x:c>
      <x:c r="J37" s="43" t="str">
        <x:v>Verified</x:v>
      </x:c>
      <x:c r="K37" s="43" t="str">
        <x:v>Source of non-GAAP gross profit and large-customer KPI</x:v>
      </x:c>
    </x:row>
    <x:row r="38">
      <x:c r="A38" s="15" t="str">
        <x:v>ER-2025Q3</x:v>
      </x:c>
      <x:c r="B38" s="15" t="str">
        <x:v>Datadog 2025Q3 earnings release</x:v>
      </x:c>
      <x:c r="C38" s="15" t="str">
        <x:v>SEC filed exhibit</x:v>
      </x:c>
      <x:c r="D38" s="15" t="str">
        <x:v>2025Q3</x:v>
      </x:c>
      <x:c r="E38" s="17" t="n">
        <x:v>45967</x:v>
      </x:c>
      <x:c r="F38" s="17" t="n">
        <x:v>46234</x:v>
      </x:c>
      <x:c r="G38" s="15" t="str">
        <x:v>Primary</x:v>
      </x:c>
      <x:c r="H38" s="43" t="str">
        <x:v>Official SEC exhibit table parsed; GAAP gross profit cross-checked against SEC facts</x:v>
      </x:c>
      <x:c r="I38" s="44" t="str">
        <x:v>https://www.sec.gov/Archives/edgar/data/1561550/000156155025000310/ex-991x20250930x8k.htm</x:v>
      </x:c>
      <x:c r="J38" s="43" t="str">
        <x:v>Verified</x:v>
      </x:c>
      <x:c r="K38" s="43" t="str">
        <x:v>Source of non-GAAP gross profit and large-customer KPI</x:v>
      </x:c>
    </x:row>
    <x:row r="39">
      <x:c r="A39" s="15" t="str">
        <x:v>ER-2025Q4</x:v>
      </x:c>
      <x:c r="B39" s="15" t="str">
        <x:v>Datadog 2025Q4 earnings release</x:v>
      </x:c>
      <x:c r="C39" s="15" t="str">
        <x:v>SEC filed exhibit</x:v>
      </x:c>
      <x:c r="D39" s="15" t="str">
        <x:v>2025Q4</x:v>
      </x:c>
      <x:c r="E39" s="17" t="n">
        <x:v>46063</x:v>
      </x:c>
      <x:c r="F39" s="17" t="n">
        <x:v>46234</x:v>
      </x:c>
      <x:c r="G39" s="15" t="str">
        <x:v>Primary</x:v>
      </x:c>
      <x:c r="H39" s="43" t="str">
        <x:v>Official SEC exhibit table parsed; GAAP gross profit cross-checked against SEC facts</x:v>
      </x:c>
      <x:c r="I39" s="44" t="str">
        <x:v>https://www.sec.gov/Archives/edgar/data/1561550/000162828026006645/ex-991x20251231x8k.htm</x:v>
      </x:c>
      <x:c r="J39" s="43" t="str">
        <x:v>Verified</x:v>
      </x:c>
      <x:c r="K39" s="43" t="str">
        <x:v>Source of non-GAAP gross profit and large-customer KPI</x:v>
      </x:c>
    </x:row>
    <x:row r="40">
      <x:c r="A40" s="15" t="str">
        <x:v>ER-2026Q1</x:v>
      </x:c>
      <x:c r="B40" s="15" t="str">
        <x:v>Datadog 2026Q1 earnings release</x:v>
      </x:c>
      <x:c r="C40" s="15" t="str">
        <x:v>SEC filed exhibit</x:v>
      </x:c>
      <x:c r="D40" s="15" t="str">
        <x:v>2026Q1</x:v>
      </x:c>
      <x:c r="E40" s="17" t="n">
        <x:v>46149</x:v>
      </x:c>
      <x:c r="F40" s="17" t="n">
        <x:v>46234</x:v>
      </x:c>
      <x:c r="G40" s="15" t="str">
        <x:v>Primary</x:v>
      </x:c>
      <x:c r="H40" s="43" t="str">
        <x:v>Official SEC exhibit table parsed; GAAP gross profit cross-checked against SEC facts</x:v>
      </x:c>
      <x:c r="I40" s="44" t="str">
        <x:v>https://www.sec.gov/Archives/edgar/data/1561550/000162828026031677/ex-991x20260331x8k.htm</x:v>
      </x:c>
      <x:c r="J40" s="43" t="str">
        <x:v>Verified</x:v>
      </x:c>
      <x:c r="K40" s="43" t="str">
        <x:v>Source of non-GAAP gross profit and large-customer KPI</x:v>
      </x:c>
    </x:row>
    <x:row r="41">
      <x:c r="A41" s="15" t="str">
        <x:v>TR-2021Q2</x:v>
      </x:c>
      <x:c r="B41" s="15" t="str">
        <x:v>Datadog TR-2021Q2</x:v>
      </x:c>
      <x:c r="C41" s="15" t="str">
        <x:v>Official IR transcript</x:v>
      </x:c>
      <x:c r="D41" s="15" t="str">
        <x:v>2021Q2</x:v>
      </x:c>
      <x:c r="E41" s="17"/>
      <x:c r="F41" s="17" t="n">
        <x:v>46234</x:v>
      </x:c>
      <x:c r="G41" s="15" t="str">
        <x:v>Primary management claim</x:v>
      </x:c>
      <x:c r="H41" s="43" t="str">
        <x:v>Official IR-hosted transcript; disclosure preserved as rounded/qualified</x:v>
      </x:c>
      <x:c r="I41" s="44" t="str">
        <x:v>https://investors.datadoghq.com/static-files/82ccb0c5-c0dd-4719-96c2-531de4fcb772</x:v>
      </x:c>
      <x:c r="J41" s="43" t="str">
        <x:v>Verified</x:v>
      </x:c>
      <x:c r="K41" s="43" t="str">
        <x:v>Used for product adoption and/or product milestone disclosures</x:v>
      </x:c>
    </x:row>
    <x:row r="42">
      <x:c r="A42" s="15" t="str">
        <x:v>PX-2026</x:v>
      </x:c>
      <x:c r="B42" s="15" t="str">
        <x:v>Datadog PX-2026</x:v>
      </x:c>
      <x:c r="C42" s="15" t="str">
        <x:v>Proxy statement</x:v>
      </x:c>
      <x:c r="D42" s="15" t="str">
        <x:v>PX-2026</x:v>
      </x:c>
      <x:c r="E42" s="17"/>
      <x:c r="F42" s="17" t="n">
        <x:v>46234</x:v>
      </x:c>
      <x:c r="G42" s="15" t="str">
        <x:v>Primary</x:v>
      </x:c>
      <x:c r="H42" s="43" t="str">
        <x:v>Official filed document</x:v>
      </x:c>
      <x:c r="I42" s="44" t="str">
        <x:v>https://investors.datadoghq.com/static-files/da3a926b-cc0e-449f-9473-89daa13dc291</x:v>
      </x:c>
      <x:c r="J42" s="43" t="str">
        <x:v>Verified</x:v>
      </x:c>
      <x:c r="K42" s="43" t="str">
        <x:v>Used for product adoption and/or product milestone disclosures</x:v>
      </x:c>
    </x:row>
    <x:row r="43">
      <x:c r="A43" s="15" t="str">
        <x:v>TR-2021Q4</x:v>
      </x:c>
      <x:c r="B43" s="15" t="str">
        <x:v>Datadog TR-2021Q4</x:v>
      </x:c>
      <x:c r="C43" s="15" t="str">
        <x:v>Official IR transcript</x:v>
      </x:c>
      <x:c r="D43" s="15" t="str">
        <x:v>2021Q4</x:v>
      </x:c>
      <x:c r="E43" s="17"/>
      <x:c r="F43" s="17" t="n">
        <x:v>46234</x:v>
      </x:c>
      <x:c r="G43" s="15" t="str">
        <x:v>Primary management claim</x:v>
      </x:c>
      <x:c r="H43" s="43" t="str">
        <x:v>Official IR-hosted transcript; disclosure preserved as rounded/qualified</x:v>
      </x:c>
      <x:c r="I43" s="44" t="str">
        <x:v>https://investors.datadoghq.com/static-files/420cfcd2-d501-47e4-9772-b82c335d9e14</x:v>
      </x:c>
      <x:c r="J43" s="43" t="str">
        <x:v>Verified</x:v>
      </x:c>
      <x:c r="K43" s="43" t="str">
        <x:v>Used for product adoption and/or product milestone disclosures</x:v>
      </x:c>
    </x:row>
    <x:row r="44">
      <x:c r="A44" s="15" t="str">
        <x:v>TR-2022Q1</x:v>
      </x:c>
      <x:c r="B44" s="15" t="str">
        <x:v>Datadog TR-2022Q1</x:v>
      </x:c>
      <x:c r="C44" s="15" t="str">
        <x:v>Official IR transcript</x:v>
      </x:c>
      <x:c r="D44" s="15" t="str">
        <x:v>2022Q1</x:v>
      </x:c>
      <x:c r="E44" s="17"/>
      <x:c r="F44" s="17" t="n">
        <x:v>46234</x:v>
      </x:c>
      <x:c r="G44" s="15" t="str">
        <x:v>Primary management claim</x:v>
      </x:c>
      <x:c r="H44" s="43" t="str">
        <x:v>Official IR-hosted transcript; disclosure preserved as rounded/qualified</x:v>
      </x:c>
      <x:c r="I44" s="44" t="str">
        <x:v>https://investors.datadoghq.com/static-files/48408afd-fa82-490a-8d0c-bd89375de6df</x:v>
      </x:c>
      <x:c r="J44" s="43" t="str">
        <x:v>Verified</x:v>
      </x:c>
      <x:c r="K44" s="43" t="str">
        <x:v>Used for product adoption and/or product milestone disclosures</x:v>
      </x:c>
    </x:row>
    <x:row r="45">
      <x:c r="A45" s="15" t="str">
        <x:v>TR-2021Q3</x:v>
      </x:c>
      <x:c r="B45" s="15" t="str">
        <x:v>Datadog TR-2021Q3</x:v>
      </x:c>
      <x:c r="C45" s="15" t="str">
        <x:v>Official IR transcript</x:v>
      </x:c>
      <x:c r="D45" s="15" t="str">
        <x:v>2021Q3</x:v>
      </x:c>
      <x:c r="E45" s="17"/>
      <x:c r="F45" s="17" t="n">
        <x:v>46234</x:v>
      </x:c>
      <x:c r="G45" s="15" t="str">
        <x:v>Primary management claim</x:v>
      </x:c>
      <x:c r="H45" s="43" t="str">
        <x:v>Official IR-hosted transcript; disclosure preserved as rounded/qualified</x:v>
      </x:c>
      <x:c r="I45" s="44" t="str">
        <x:v>https://investors.datadoghq.com/static-files/d5f1c9d9-6742-43b4-ba5d-75446b4752a4</x:v>
      </x:c>
      <x:c r="J45" s="43" t="str">
        <x:v>Verified</x:v>
      </x:c>
      <x:c r="K45" s="43" t="str">
        <x:v>Used for product adoption and/or product milestone disclosures</x:v>
      </x:c>
    </x:row>
    <x:row r="46">
      <x:c r="A46" s="15" t="str">
        <x:v>TR-2022Q4</x:v>
      </x:c>
      <x:c r="B46" s="15" t="str">
        <x:v>Datadog TR-2022Q4</x:v>
      </x:c>
      <x:c r="C46" s="15" t="str">
        <x:v>Official IR transcript</x:v>
      </x:c>
      <x:c r="D46" s="15" t="str">
        <x:v>2022Q4</x:v>
      </x:c>
      <x:c r="E46" s="17"/>
      <x:c r="F46" s="17" t="n">
        <x:v>46234</x:v>
      </x:c>
      <x:c r="G46" s="15" t="str">
        <x:v>Primary management claim</x:v>
      </x:c>
      <x:c r="H46" s="43" t="str">
        <x:v>Official IR-hosted transcript; disclosure preserved as rounded/qualified</x:v>
      </x:c>
      <x:c r="I46" s="44" t="str">
        <x:v>https://investors.datadoghq.com/static-files/77923fd2-a329-4ee0-bb04-6ee30cb7ea96</x:v>
      </x:c>
      <x:c r="J46" s="43" t="str">
        <x:v>Verified</x:v>
      </x:c>
      <x:c r="K46" s="43" t="str">
        <x:v>Used for product adoption and/or product milestone disclosures</x:v>
      </x:c>
    </x:row>
    <x:row r="47">
      <x:c r="A47" s="15" t="str">
        <x:v>TR-2022Q2</x:v>
      </x:c>
      <x:c r="B47" s="15" t="str">
        <x:v>Datadog TR-2022Q2</x:v>
      </x:c>
      <x:c r="C47" s="15" t="str">
        <x:v>Official IR transcript</x:v>
      </x:c>
      <x:c r="D47" s="15" t="str">
        <x:v>2022Q2</x:v>
      </x:c>
      <x:c r="E47" s="17"/>
      <x:c r="F47" s="17" t="n">
        <x:v>46234</x:v>
      </x:c>
      <x:c r="G47" s="15" t="str">
        <x:v>Primary management claim</x:v>
      </x:c>
      <x:c r="H47" s="43" t="str">
        <x:v>Official IR-hosted transcript; disclosure preserved as rounded/qualified</x:v>
      </x:c>
      <x:c r="I47" s="44" t="str">
        <x:v>https://investors.datadoghq.com/static-files/69426685-ec10-4e71-a634-5de5bddd9577</x:v>
      </x:c>
      <x:c r="J47" s="43" t="str">
        <x:v>Verified</x:v>
      </x:c>
      <x:c r="K47" s="43" t="str">
        <x:v>Used for product adoption and/or product milestone disclosures</x:v>
      </x:c>
    </x:row>
    <x:row r="48">
      <x:c r="A48" s="15" t="str">
        <x:v>TR-2023Q3</x:v>
      </x:c>
      <x:c r="B48" s="15" t="str">
        <x:v>Datadog TR-2023Q3</x:v>
      </x:c>
      <x:c r="C48" s="15" t="str">
        <x:v>Official IR transcript</x:v>
      </x:c>
      <x:c r="D48" s="15" t="str">
        <x:v>2023Q3</x:v>
      </x:c>
      <x:c r="E48" s="17"/>
      <x:c r="F48" s="17" t="n">
        <x:v>46234</x:v>
      </x:c>
      <x:c r="G48" s="15" t="str">
        <x:v>Primary management claim</x:v>
      </x:c>
      <x:c r="H48" s="43" t="str">
        <x:v>Official IR-hosted transcript; disclosure preserved as rounded/qualified</x:v>
      </x:c>
      <x:c r="I48" s="44" t="str">
        <x:v>https://investors.datadoghq.com/static-files/5c1ee653-d0d8-4d28-b65c-2866ff17cefa</x:v>
      </x:c>
      <x:c r="J48" s="43" t="str">
        <x:v>Verified</x:v>
      </x:c>
      <x:c r="K48" s="43" t="str">
        <x:v>Used for product adoption and/or product milestone disclosures</x:v>
      </x:c>
    </x:row>
    <x:row r="49">
      <x:c r="A49" s="15" t="str">
        <x:v>TR-2024Q1</x:v>
      </x:c>
      <x:c r="B49" s="15" t="str">
        <x:v>Datadog TR-2024Q1</x:v>
      </x:c>
      <x:c r="C49" s="15" t="str">
        <x:v>Official IR transcript</x:v>
      </x:c>
      <x:c r="D49" s="15" t="str">
        <x:v>2024Q1</x:v>
      </x:c>
      <x:c r="E49" s="17"/>
      <x:c r="F49" s="17" t="n">
        <x:v>46234</x:v>
      </x:c>
      <x:c r="G49" s="15" t="str">
        <x:v>Primary management claim</x:v>
      </x:c>
      <x:c r="H49" s="43" t="str">
        <x:v>Official IR-hosted transcript; disclosure preserved as rounded/qualified</x:v>
      </x:c>
      <x:c r="I49" s="44" t="str">
        <x:v>https://investors.datadoghq.com/static-files/b85b8989-e41e-4aed-9a24-cc1d0fb1c8c6</x:v>
      </x:c>
      <x:c r="J49" s="43" t="str">
        <x:v>Verified</x:v>
      </x:c>
      <x:c r="K49" s="43" t="str">
        <x:v>Used for product adoption and/or product milestone disclosures</x:v>
      </x:c>
    </x:row>
    <x:row r="50">
      <x:c r="A50" s="15" t="str">
        <x:v>TR-2023Q2</x:v>
      </x:c>
      <x:c r="B50" s="15" t="str">
        <x:v>Datadog TR-2023Q2</x:v>
      </x:c>
      <x:c r="C50" s="15" t="str">
        <x:v>Official IR transcript</x:v>
      </x:c>
      <x:c r="D50" s="15" t="str">
        <x:v>2023Q2</x:v>
      </x:c>
      <x:c r="E50" s="17"/>
      <x:c r="F50" s="17" t="n">
        <x:v>46234</x:v>
      </x:c>
      <x:c r="G50" s="15" t="str">
        <x:v>Primary management claim</x:v>
      </x:c>
      <x:c r="H50" s="43" t="str">
        <x:v>Official IR-hosted transcript; disclosure preserved as rounded/qualified</x:v>
      </x:c>
      <x:c r="I50" s="44" t="str">
        <x:v>https://investors.datadoghq.com/static-files/f53f970e-f167-4bff-9137-b17ff8b7cad5</x:v>
      </x:c>
      <x:c r="J50" s="43" t="str">
        <x:v>Verified</x:v>
      </x:c>
      <x:c r="K50" s="43" t="str">
        <x:v>Used for product adoption and/or product milestone disclosures</x:v>
      </x:c>
    </x:row>
    <x:row r="51">
      <x:c r="A51" s="15" t="str">
        <x:v>TR-2023Q4</x:v>
      </x:c>
      <x:c r="B51" s="15" t="str">
        <x:v>Datadog TR-2023Q4</x:v>
      </x:c>
      <x:c r="C51" s="15" t="str">
        <x:v>Official IR transcript</x:v>
      </x:c>
      <x:c r="D51" s="15" t="str">
        <x:v>2023Q4</x:v>
      </x:c>
      <x:c r="E51" s="17"/>
      <x:c r="F51" s="17" t="n">
        <x:v>46234</x:v>
      </x:c>
      <x:c r="G51" s="15" t="str">
        <x:v>Primary management claim</x:v>
      </x:c>
      <x:c r="H51" s="43" t="str">
        <x:v>Official IR-hosted transcript; disclosure preserved as rounded/qualified</x:v>
      </x:c>
      <x:c r="I51" s="44" t="str">
        <x:v>https://investors.datadoghq.com/static-files/8a1b21f1-c008-4b97-afca-b11b0e0cbec5</x:v>
      </x:c>
      <x:c r="J51" s="43" t="str">
        <x:v>Verified</x:v>
      </x:c>
      <x:c r="K51" s="43" t="str">
        <x:v>Used for product adoption and/or product milestone disclosures</x:v>
      </x:c>
    </x:row>
    <x:row r="52">
      <x:c r="A52" s="15" t="str">
        <x:v>TR-2024Q2</x:v>
      </x:c>
      <x:c r="B52" s="15" t="str">
        <x:v>Datadog TR-2024Q2</x:v>
      </x:c>
      <x:c r="C52" s="15" t="str">
        <x:v>Official IR transcript</x:v>
      </x:c>
      <x:c r="D52" s="15" t="str">
        <x:v>2024Q2</x:v>
      </x:c>
      <x:c r="E52" s="17"/>
      <x:c r="F52" s="17" t="n">
        <x:v>46234</x:v>
      </x:c>
      <x:c r="G52" s="15" t="str">
        <x:v>Primary management claim</x:v>
      </x:c>
      <x:c r="H52" s="43" t="str">
        <x:v>Official IR-hosted transcript; disclosure preserved as rounded/qualified</x:v>
      </x:c>
      <x:c r="I52" s="44" t="str">
        <x:v>https://investors.datadoghq.com/static-files/6d1533bf-a289-4f4a-8316-164daaebf706</x:v>
      </x:c>
      <x:c r="J52" s="43" t="str">
        <x:v>Verified</x:v>
      </x:c>
      <x:c r="K52" s="43" t="str">
        <x:v>Used for product adoption and/or product milestone disclosures</x:v>
      </x:c>
    </x:row>
    <x:row r="53">
      <x:c r="A53" s="15" t="str">
        <x:v>TR-2024Q3</x:v>
      </x:c>
      <x:c r="B53" s="15" t="str">
        <x:v>Datadog TR-2024Q3</x:v>
      </x:c>
      <x:c r="C53" s="15" t="str">
        <x:v>Official IR transcript</x:v>
      </x:c>
      <x:c r="D53" s="15" t="str">
        <x:v>2024Q3</x:v>
      </x:c>
      <x:c r="E53" s="17"/>
      <x:c r="F53" s="17" t="n">
        <x:v>46234</x:v>
      </x:c>
      <x:c r="G53" s="15" t="str">
        <x:v>Primary management claim</x:v>
      </x:c>
      <x:c r="H53" s="43" t="str">
        <x:v>Official IR-hosted transcript; disclosure preserved as rounded/qualified</x:v>
      </x:c>
      <x:c r="I53" s="44" t="str">
        <x:v>https://investors.datadoghq.com/static-files/e3e6f71c-4207-4296-acd5-b994ab22fe81</x:v>
      </x:c>
      <x:c r="J53" s="43" t="str">
        <x:v>Verified</x:v>
      </x:c>
      <x:c r="K53" s="43" t="str">
        <x:v>Used for product adoption and/or product milestone disclosures</x:v>
      </x:c>
    </x:row>
    <x:row r="54">
      <x:c r="A54" s="15" t="str">
        <x:v>10K-2025</x:v>
      </x:c>
      <x:c r="B54" s="15" t="str">
        <x:v>Datadog 10K-2025</x:v>
      </x:c>
      <x:c r="C54" s="15" t="str">
        <x:v>SEC filing</x:v>
      </x:c>
      <x:c r="D54" s="15" t="str">
        <x:v>2025</x:v>
      </x:c>
      <x:c r="E54" s="17"/>
      <x:c r="F54" s="17" t="n">
        <x:v>46234</x:v>
      </x:c>
      <x:c r="G54" s="15" t="str">
        <x:v>Primary</x:v>
      </x:c>
      <x:c r="H54" s="43" t="str">
        <x:v>Official filed document</x:v>
      </x:c>
      <x:c r="I54" s="44" t="str">
        <x:v>https://www.sec.gov/Archives/edgar/data/1561550/000162828026008819/ddog-20251231.htm</x:v>
      </x:c>
      <x:c r="J54" s="43" t="str">
        <x:v>Verified</x:v>
      </x:c>
      <x:c r="K54" s="43" t="str">
        <x:v>Used for product adoption and/or product milestone disclosures</x:v>
      </x:c>
    </x:row>
    <x:row r="55">
      <x:c r="A55" s="15" t="str">
        <x:v>10Q-2026Q1</x:v>
      </x:c>
      <x:c r="B55" s="15" t="str">
        <x:v>Datadog 10Q-2026Q1</x:v>
      </x:c>
      <x:c r="C55" s="15" t="str">
        <x:v>SEC filing</x:v>
      </x:c>
      <x:c r="D55" s="15" t="str">
        <x:v>2026Q1</x:v>
      </x:c>
      <x:c r="E55" s="17"/>
      <x:c r="F55" s="17" t="n">
        <x:v>46234</x:v>
      </x:c>
      <x:c r="G55" s="15" t="str">
        <x:v>Primary</x:v>
      </x:c>
      <x:c r="H55" s="43" t="str">
        <x:v>Official filed document</x:v>
      </x:c>
      <x:c r="I55" s="44" t="str">
        <x:v>https://www.sec.gov/Archives/edgar/data/1561550/000162828026032328/ddog-20260331.htm</x:v>
      </x:c>
      <x:c r="J55" s="43" t="str">
        <x:v>Verified</x:v>
      </x:c>
      <x:c r="K55" s="43" t="str">
        <x:v>Used for product adoption and/or product milestone disclosures</x:v>
      </x:c>
    </x:row>
    <x:row r="56">
      <x:c r="A56" s="15" t="str">
        <x:v>TR-2025Q2</x:v>
      </x:c>
      <x:c r="B56" s="15" t="str">
        <x:v>Datadog TR-2025Q2</x:v>
      </x:c>
      <x:c r="C56" s="15" t="str">
        <x:v>Official IR transcript</x:v>
      </x:c>
      <x:c r="D56" s="15" t="str">
        <x:v>2025Q2</x:v>
      </x:c>
      <x:c r="E56" s="17"/>
      <x:c r="F56" s="17" t="n">
        <x:v>46234</x:v>
      </x:c>
      <x:c r="G56" s="15" t="str">
        <x:v>Primary management claim</x:v>
      </x:c>
      <x:c r="H56" s="43" t="str">
        <x:v>Official IR-hosted transcript; disclosure preserved as rounded/qualified</x:v>
      </x:c>
      <x:c r="I56" s="44" t="str">
        <x:v>https://investors.datadoghq.com/static-files/4b5b9407-c0e8-4333-b035-ca5b894e8904</x:v>
      </x:c>
      <x:c r="J56" s="43" t="str">
        <x:v>Verified</x:v>
      </x:c>
      <x:c r="K56" s="43" t="str">
        <x:v>Used for product adoption and/or product milestone disclosures</x:v>
      </x:c>
    </x:row>
    <x:row r="57">
      <x:c r="A57" s="15" t="str">
        <x:v>10Q-2025Q3</x:v>
      </x:c>
      <x:c r="B57" s="15" t="str">
        <x:v>Datadog 10Q-2025Q3</x:v>
      </x:c>
      <x:c r="C57" s="15" t="str">
        <x:v>SEC filing</x:v>
      </x:c>
      <x:c r="D57" s="15" t="str">
        <x:v>2025Q3</x:v>
      </x:c>
      <x:c r="E57" s="17"/>
      <x:c r="F57" s="17" t="n">
        <x:v>46234</x:v>
      </x:c>
      <x:c r="G57" s="15" t="str">
        <x:v>Primary</x:v>
      </x:c>
      <x:c r="H57" s="43" t="str">
        <x:v>Official filed document</x:v>
      </x:c>
      <x:c r="I57" s="44" t="str">
        <x:v>https://www.sec.gov/Archives/edgar/data/1561550/000156155025000313/ddog-20250930.htm</x:v>
      </x:c>
      <x:c r="J57" s="43" t="str">
        <x:v>Verified</x:v>
      </x:c>
      <x:c r="K57" s="43" t="str">
        <x:v>Used for product adoption and/or product milestone disclosures</x:v>
      </x:c>
    </x:row>
    <x:row r="58">
      <x:c r="A58" s="15" t="str">
        <x:v>TR-2024Q4</x:v>
      </x:c>
      <x:c r="B58" s="15" t="str">
        <x:v>Datadog TR-2024Q4</x:v>
      </x:c>
      <x:c r="C58" s="15" t="str">
        <x:v>Official IR transcript</x:v>
      </x:c>
      <x:c r="D58" s="15" t="str">
        <x:v>2024Q4</x:v>
      </x:c>
      <x:c r="E58" s="17"/>
      <x:c r="F58" s="17" t="n">
        <x:v>46234</x:v>
      </x:c>
      <x:c r="G58" s="15" t="str">
        <x:v>Primary management claim</x:v>
      </x:c>
      <x:c r="H58" s="43" t="str">
        <x:v>Official IR-hosted transcript; disclosure preserved as rounded/qualified</x:v>
      </x:c>
      <x:c r="I58" s="44" t="str">
        <x:v>https://investors.datadoghq.com/static-files/d923379a-cb66-40a9-bc83-2ef334c322d4</x:v>
      </x:c>
      <x:c r="J58" s="43" t="str">
        <x:v>Verified</x:v>
      </x:c>
      <x:c r="K58" s="43" t="str">
        <x:v>Used for product adoption and/or product milestone disclosures</x:v>
      </x:c>
    </x:row>
    <x:row r="59">
      <x:c r="A59" s="15" t="str">
        <x:v>TR-2025Q4</x:v>
      </x:c>
      <x:c r="B59" s="15" t="str">
        <x:v>Datadog TR-2025Q4</x:v>
      </x:c>
      <x:c r="C59" s="15" t="str">
        <x:v>Official IR transcript</x:v>
      </x:c>
      <x:c r="D59" s="15" t="str">
        <x:v>2025Q4</x:v>
      </x:c>
      <x:c r="E59" s="17"/>
      <x:c r="F59" s="17" t="n">
        <x:v>46234</x:v>
      </x:c>
      <x:c r="G59" s="15" t="str">
        <x:v>Primary management claim</x:v>
      </x:c>
      <x:c r="H59" s="43" t="str">
        <x:v>Official IR-hosted transcript; disclosure preserved as rounded/qualified</x:v>
      </x:c>
      <x:c r="I59" s="44" t="str">
        <x:v>https://investors.datadoghq.com/static-files/71a1a6e1-3028-48a3-90f3-7662b76604e2</x:v>
      </x:c>
      <x:c r="J59" s="43" t="str">
        <x:v>Verified</x:v>
      </x:c>
      <x:c r="K59" s="43" t="str">
        <x:v>Used for product adoption and/or product milestone disclosures</x:v>
      </x:c>
    </x:row>
    <x:row r="60">
      <x:c r="A60" s="15" t="str">
        <x:v>TR-2026Q1</x:v>
      </x:c>
      <x:c r="B60" s="15" t="str">
        <x:v>Datadog TR-2026Q1</x:v>
      </x:c>
      <x:c r="C60" s="15" t="str">
        <x:v>Official IR transcript</x:v>
      </x:c>
      <x:c r="D60" s="15" t="str">
        <x:v>2026Q1</x:v>
      </x:c>
      <x:c r="E60" s="17"/>
      <x:c r="F60" s="17" t="n">
        <x:v>46234</x:v>
      </x:c>
      <x:c r="G60" s="15" t="str">
        <x:v>Primary management claim</x:v>
      </x:c>
      <x:c r="H60" s="43" t="str">
        <x:v>Official IR-hosted transcript; disclosure preserved as rounded/qualified</x:v>
      </x:c>
      <x:c r="I60" s="44" t="str">
        <x:v>https://investors.datadoghq.com/static-files/b162f4b4-ae66-4fd2-bc41-92b4f9a877c9</x:v>
      </x:c>
      <x:c r="J60" s="43" t="str">
        <x:v>Verified</x:v>
      </x:c>
      <x:c r="K60" s="43" t="str">
        <x:v>Used for product adoption and/or product milestone disclosures</x:v>
      </x:c>
    </x:row>
    <x:row r="61">
      <x:c r="A61" s="16" t="str">
        <x:v>PRICE-20260731</x:v>
      </x:c>
      <x:c r="B61" s="16" t="str">
        <x:v>Datadog public list pricing</x:v>
      </x:c>
      <x:c r="C61" s="16" t="str">
        <x:v>Official product page</x:v>
      </x:c>
      <x:c r="D61" s="16" t="str">
        <x:v>As of 2026-07-31</x:v>
      </x:c>
      <x:c r="E61" s="18"/>
      <x:c r="F61" s="18" t="n">
        <x:v>46234</x:v>
      </x:c>
      <x:c r="G61" s="16" t="str">
        <x:v>Primary current snapshot</x:v>
      </x:c>
      <x:c r="H61" s="45" t="str">
        <x:v>Downloaded official price list and parsed 103 rows; no historical inference</x:v>
      </x:c>
      <x:c r="I61" s="46" t="str">
        <x:v>https://www.datadoghq.com/pricing/list/</x:v>
      </x:c>
      <x:c r="J61" s="45" t="str">
        <x:v>Verified</x:v>
      </x:c>
      <x:c r="K61" s="45" t="str">
        <x:v>Analyst product-direction mapping is interpretation</x:v>
      </x:c>
    </x:row>
  </x:sheetData>
  <x:mergeCells>
    <x:mergeCell ref="A1:K2"/>
    <x:mergeCell ref="A3:K3"/>
  </x:mergeCells>
  <x:pageMargins left="0.7" right="0.7" top="0.75" bottom="0.75" header="0.3" footer="0.3"/>
  <x:tableParts count="1">
    <x:tablePart xmlns:r="http://schemas.openxmlformats.org/officeDocument/2006/relationships" r:id="R55a32a0ece9c4af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8.329999923706055" hidden="0" customWidth="1"/>
    <x:col min="2" max="2" width="9.5600004196167" hidden="0" customWidth="1"/>
    <x:col min="3" max="3" width="15" hidden="0" customWidth="1"/>
    <x:col min="4" max="4" width="36.66999816894531" hidden="0" customWidth="1"/>
    <x:col min="5" max="5" width="33.33000183105469" hidden="0" customWidth="1"/>
    <x:col min="6" max="6" width="14.4399995803833" hidden="0" customWidth="1"/>
    <x:col min="7" max="7" width="11.670000076293945" hidden="0" customWidth="1"/>
    <x:col min="8" max="8" width="11.670000076293945" hidden="0" customWidth="1"/>
    <x:col min="9" max="9" width="27.219999313354492" hidden="0" customWidth="1"/>
  </x:cols>
  <x:sheetData>
    <x:row r="1" ht="28" customHeight="1">
      <x:c r="A1" s="126" t="str">
        <x:v>QA flags, source conflicts &amp; analytical limits</x:v>
      </x:c>
      <x:c r="B1" s="3"/>
      <x:c r="C1" s="3"/>
      <x:c r="D1" s="3"/>
      <x:c r="E1" s="3"/>
      <x:c r="F1" s="3"/>
      <x:c r="G1" s="3"/>
      <x:c r="H1" s="3"/>
      <x:c r="I1" s="3"/>
    </x:row>
    <x:row r="2" ht="28" customHeight="1">
      <x:c r="A2" s="3"/>
      <x:c r="B2" s="3"/>
      <x:c r="C2" s="3"/>
      <x:c r="D2" s="3"/>
      <x:c r="E2" s="3"/>
      <x:c r="F2" s="3"/>
      <x:c r="G2" s="3"/>
      <x:c r="H2" s="3"/>
      <x:c r="I2" s="3"/>
    </x:row>
    <x:row r="3" ht="30" customHeight="1">
      <x:c r="A3" s="127" t="str">
        <x:v>A visible exception register. 'Resolved working basis' means the workbook records a chosen value while retaining the conflict.</x:v>
      </x:c>
      <x:c r="B3" s="7"/>
      <x:c r="C3" s="7"/>
      <x:c r="D3" s="7"/>
      <x:c r="E3" s="7"/>
      <x:c r="F3" s="7"/>
      <x:c r="G3" s="7"/>
      <x:c r="H3" s="7"/>
      <x:c r="I3" s="7"/>
    </x:row>
    <x:row r="5">
      <x:c r="A5" s="12" t="str">
        <x:v>Flag ID</x:v>
      </x:c>
      <x:c r="B5" s="12" t="str">
        <x:v>Severity</x:v>
      </x:c>
      <x:c r="C5" s="12" t="str">
        <x:v>Topic</x:v>
      </x:c>
      <x:c r="D5" s="12" t="str">
        <x:v>Issue</x:v>
      </x:c>
      <x:c r="E5" s="12" t="str">
        <x:v>Working treatment</x:v>
      </x:c>
      <x:c r="F5" s="12" t="str">
        <x:v>Status</x:v>
      </x:c>
      <x:c r="G5" s="12" t="str">
        <x:v>Source A</x:v>
      </x:c>
      <x:c r="H5" s="12" t="str">
        <x:v>Source B</x:v>
      </x:c>
      <x:c r="I5" s="12" t="str">
        <x:v>Implication</x:v>
      </x:c>
    </x:row>
    <x:row r="6">
      <x:c r="A6" s="43" t="str">
        <x:v>QA-001</x:v>
      </x:c>
      <x:c r="B6" s="73" t="str">
        <x:v>Blocker</x:v>
      </x:c>
      <x:c r="C6" s="43" t="str">
        <x:v>Segment disclosure</x:v>
      </x:c>
      <x:c r="D6" s="43" t="str">
        <x:v>Datadog reports one operating/reportable segment and one business activity; no product revenue or product COGS.</x:v>
      </x:c>
      <x:c r="E6" s="43" t="str">
        <x:v>Do not present public product margin as observed fact.</x:v>
      </x:c>
      <x:c r="F6" s="43" t="str">
        <x:v>Open structural limitation</x:v>
      </x:c>
      <x:c r="G6" s="43" t="str">
        <x:v>10K-2025</x:v>
      </x:c>
      <x:c r="H6" s="43" t="str"/>
      <x:c r="I6" s="43" t="str">
        <x:v>Product margin can only be scenario-based.</x:v>
      </x:c>
    </x:row>
    <x:row r="7">
      <x:c r="A7" s="43" t="str">
        <x:v>QA-002</x:v>
      </x:c>
      <x:c r="B7" s="73" t="str">
        <x:v>Blocker</x:v>
      </x:c>
      <x:c r="C7" s="43" t="str">
        <x:v>Shared cost allocation</x:v>
      </x:c>
      <x:c r="D7" s="43" t="str">
        <x:v>Cloud infrastructure, support, IT, amortization and overhead are disclosed only in aggregate.</x:v>
      </x:c>
      <x:c r="E7" s="43" t="str">
        <x:v>Keep product COGS allocation inputs blank until an explicit allocation rule/data source exists.</x:v>
      </x:c>
      <x:c r="F7" s="43" t="str">
        <x:v>Open</x:v>
      </x:c>
      <x:c r="G7" s="43" t="str">
        <x:v>10K-2025</x:v>
      </x:c>
      <x:c r="H7" s="43" t="str"/>
      <x:c r="I7" s="43" t="str">
        <x:v>Primary driver of model uncertainty.</x:v>
      </x:c>
    </x:row>
    <x:row r="8">
      <x:c r="A8" s="43" t="str">
        <x:v>QA-003</x:v>
      </x:c>
      <x:c r="B8" s="76" t="str">
        <x:v>High</x:v>
      </x:c>
      <x:c r="C8" s="43" t="str">
        <x:v>Product ARR comparability</x:v>
      </x:c>
      <x:c r="D8" s="43" t="str">
        <x:v>ARR disclosures are sparse, rounded lower bounds and product scopes change.</x:v>
      </x:c>
      <x:c r="E8" s="43" t="str">
        <x:v>Store qualifier and scope; do not sum overlapping milestones.</x:v>
      </x:c>
      <x:c r="F8" s="43" t="str">
        <x:v>Open</x:v>
      </x:c>
      <x:c r="G8" s="43" t="str">
        <x:v>TR-2024Q4</x:v>
      </x:c>
      <x:c r="H8" s="43" t="str">
        <x:v>TR-2025Q4</x:v>
      </x:c>
      <x:c r="I8" s="43" t="str">
        <x:v>Trend is directional, not a reconciled revenue bridge.</x:v>
      </x:c>
    </x:row>
    <x:row r="9">
      <x:c r="A9" s="43" t="str">
        <x:v>QA-004</x:v>
      </x:c>
      <x:c r="B9" s="76" t="str">
        <x:v>Medium</x:v>
      </x:c>
      <x:c r="C9" s="43" t="str">
        <x:v>2021Q4 4+ adoption</x:v>
      </x:c>
      <x:c r="D9" s="43" t="str">
        <x:v>Q4 2021 transcript text appears as 43%; later official comparative says 33%.</x:v>
      </x:c>
      <x:c r="E9" s="43" t="str">
        <x:v>Use 33% from later-period official comparative; retain conflict.</x:v>
      </x:c>
      <x:c r="F9" s="43" t="str">
        <x:v>Resolved working basis</x:v>
      </x:c>
      <x:c r="G9" s="43" t="str">
        <x:v>TR-2021Q4</x:v>
      </x:c>
      <x:c r="H9" s="43" t="str">
        <x:v>TR-2022Q4</x:v>
      </x:c>
      <x:c r="I9" s="43" t="str">
        <x:v>Avoid false 10ppt discontinuity.</x:v>
      </x:c>
    </x:row>
    <x:row r="10">
      <x:c r="A10" s="43" t="str">
        <x:v>QA-005</x:v>
      </x:c>
      <x:c r="B10" s="76" t="str">
        <x:v>Medium</x:v>
      </x:c>
      <x:c r="C10" s="43" t="str">
        <x:v>2024Q4 8+/10+ adoption</x:v>
      </x:c>
      <x:c r="D10" s="43" t="str">
        <x:v>Q4 2025 transcript comparative suggests 12%/6%; later filed 10-K gives 13%/5%.</x:v>
      </x:c>
      <x:c r="E10" s="43" t="str">
        <x:v>Use filed 10-K values 13%/5%; retain conflict.</x:v>
      </x:c>
      <x:c r="F10" s="43" t="str">
        <x:v>Resolved working basis</x:v>
      </x:c>
      <x:c r="G10" s="43" t="str">
        <x:v>TR-2025Q4</x:v>
      </x:c>
      <x:c r="H10" s="43" t="str">
        <x:v>10K-2025</x:v>
      </x:c>
      <x:c r="I10" s="43" t="str">
        <x:v>Rounding/source-update conflict.</x:v>
      </x:c>
    </x:row>
    <x:row r="11">
      <x:c r="A11" s="43" t="str">
        <x:v>QA-006</x:v>
      </x:c>
      <x:c r="B11" s="76" t="str">
        <x:v>Medium</x:v>
      </x:c>
      <x:c r="C11" s="43" t="str">
        <x:v>Quarterly Q4 financials</x:v>
      </x:c>
      <x:c r="D11" s="43" t="str">
        <x:v>Most Q4 GAAP values are derived as FY less Q1–Q3.</x:v>
      </x:c>
      <x:c r="E11" s="43" t="str">
        <x:v>Mark every derived Q4; Q4 2019 uses official earnings-release quarter table.</x:v>
      </x:c>
      <x:c r="F11" s="43" t="str">
        <x:v>Controlled</x:v>
      </x:c>
      <x:c r="G11" s="43" t="str">
        <x:v>SEC-XBRL</x:v>
      </x:c>
      <x:c r="H11" s="43" t="str">
        <x:v>ER-2019Q4</x:v>
      </x:c>
      <x:c r="I11" s="43" t="str">
        <x:v>Exact arithmetic but not a directly tagged quarterly fact.</x:v>
      </x:c>
    </x:row>
    <x:row r="12">
      <x:c r="A12" s="43" t="str">
        <x:v>QA-007</x:v>
      </x:c>
      <x:c r="B12" s="76" t="str">
        <x:v>High</x:v>
      </x:c>
      <x:c r="C12" s="43" t="str">
        <x:v>Pricing history</x:v>
      </x:c>
      <x:c r="D12" s="43" t="str">
        <x:v>Only current list pricing snapshot is collected.</x:v>
      </x:c>
      <x:c r="E12" s="43" t="str">
        <x:v>Use for monetization-unit taxonomy only, not historical realized ASP.</x:v>
      </x:c>
      <x:c r="F12" s="43" t="str">
        <x:v>Open</x:v>
      </x:c>
      <x:c r="G12" s="43" t="str">
        <x:v>PRICE-20260731</x:v>
      </x:c>
      <x:c r="H12" s="43" t="str"/>
      <x:c r="I12" s="43" t="str">
        <x:v>No price/mix decomposition without billing history.</x:v>
      </x:c>
    </x:row>
    <x:row r="13">
      <x:c r="A13" s="45" t="str">
        <x:v>QA-008</x:v>
      </x:c>
      <x:c r="B13" s="77" t="str">
        <x:v>High</x:v>
      </x:c>
      <x:c r="C13" s="45" t="str">
        <x:v>AI cohort metric</x:v>
      </x:c>
      <x:c r="D13" s="45" t="str">
        <x:v>Customers using AI integrations represent ~80% of ARR, but this is not AI product revenue.</x:v>
      </x:c>
      <x:c r="E13" s="45" t="str">
        <x:v>Label as customer-cohort ARR share.</x:v>
      </x:c>
      <x:c r="F13" s="45" t="str">
        <x:v>Controlled</x:v>
      </x:c>
      <x:c r="G13" s="45" t="str">
        <x:v>TR-2026Q1</x:v>
      </x:c>
      <x:c r="H13" s="45" t="str"/>
      <x:c r="I13" s="45" t="str">
        <x:v>Prevents over-attribution of ARR to AI products.</x:v>
      </x:c>
    </x:row>
  </x:sheetData>
  <x:mergeCells>
    <x:mergeCell ref="A1:I2"/>
    <x:mergeCell ref="A3:I3"/>
  </x:mergeCells>
  <x:pageMargins left="0.7" right="0.7" top="0.75" bottom="0.75" header="0.3" footer="0.3"/>
  <x:tableParts count="1">
    <x:tablePart xmlns:r="http://schemas.openxmlformats.org/officeDocument/2006/relationships" r:id="R59f931fa2cea40f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9.109999656677246" hidden="0" customWidth="1"/>
    <x:col min="2" max="2" width="16.110000610351562" hidden="0" customWidth="1"/>
    <x:col min="3" max="3" width="31.110000610351562" hidden="0" customWidth="1"/>
    <x:col min="4" max="4" width="13.329999923706055" hidden="0" customWidth="1"/>
    <x:col min="5" max="5" width="13.890000343322754" hidden="0" customWidth="1"/>
    <x:col min="6" max="6" width="10" hidden="0" customWidth="1"/>
    <x:col min="7" max="7" width="24.440000534057617" hidden="0" customWidth="1"/>
  </x:cols>
  <x:sheetData>
    <x:row r="1" ht="28" customHeight="1">
      <x:c r="A1" s="126" t="str">
        <x:v>Validation checks</x:v>
      </x:c>
      <x:c r="B1" s="3"/>
      <x:c r="C1" s="3"/>
      <x:c r="D1" s="3"/>
      <x:c r="E1" s="3"/>
      <x:c r="F1" s="3"/>
      <x:c r="G1" s="3"/>
    </x:row>
    <x:row r="2" ht="28" customHeight="1">
      <x:c r="A2" s="3"/>
      <x:c r="B2" s="3"/>
      <x:c r="C2" s="3"/>
      <x:c r="D2" s="3"/>
      <x:c r="E2" s="3"/>
      <x:c r="F2" s="3"/>
      <x:c r="G2" s="3"/>
    </x:row>
    <x:row r="3" ht="30" customHeight="1">
      <x:c r="A3" s="127" t="str">
        <x:v>Automated and documented controls for arithmetic, source coverage and latest-period tie-outs.</x:v>
      </x:c>
      <x:c r="B3" s="7"/>
      <x:c r="C3" s="7"/>
      <x:c r="D3" s="7"/>
      <x:c r="E3" s="7"/>
      <x:c r="F3" s="7"/>
      <x:c r="G3" s="7"/>
    </x:row>
    <x:row r="5">
      <x:c r="A5" s="12" t="str">
        <x:v>Check ID</x:v>
      </x:c>
      <x:c r="B5" s="12" t="str">
        <x:v>Scope</x:v>
      </x:c>
      <x:c r="C5" s="12" t="str">
        <x:v>Test</x:v>
      </x:c>
      <x:c r="D5" s="12" t="str">
        <x:v>Observed</x:v>
      </x:c>
      <x:c r="E5" s="12" t="str">
        <x:v>Expected / threshold</x:v>
      </x:c>
      <x:c r="F5" s="12" t="str">
        <x:v>Status</x:v>
      </x:c>
      <x:c r="G5" s="12" t="str">
        <x:v>Notes</x:v>
      </x:c>
    </x:row>
    <x:row r="6">
      <x:c r="A6" s="43" t="str">
        <x:v>VAL-001</x:v>
      </x:c>
      <x:c r="B6" s="43" t="str">
        <x:v>Quarterly_Financials</x:v>
      </x:c>
      <x:c r="C6" s="43" t="str">
        <x:v>Revenue − COGS − gross profit absolute max</x:v>
      </x:c>
      <x:c r="D6" s="82" t="n">
        <x:f>MAX(ABS(Quarterly_Financials!C6-Quarterly_Financials!D6-Quarterly_Financials!E6),ABS(Quarterly_Financials!C7-Quarterly_Financials!D7-Quarterly_Financials!E7),ABS(Quarterly_Financials!C8-Quarterly_Financials!D8-Quarterly_Financials!E8),ABS(Quarterly_Financials!C9-Quarterly_Financials!D9-Quarterly_Financials!E9),ABS(Quarterly_Financials!C10-Quarterly_Financials!D10-Quarterly_Financials!E10),ABS(Quarterly_Financials!C11-Quarterly_Financials!D11-Quarterly_Financials!E11),ABS(Quarterly_Financials!C12-Quarterly_Financials!D12-Quarterly_Financials!E12),ABS(Quarterly_Financials!C13-Quarterly_Financials!D13-Quarterly_Financials!E13),ABS(Quarterly_Financials!C14-Quarterly_Financials!D14-Quarterly_Financials!E14),ABS(Quarterly_Financials!C15-Quarterly_Financials!D15-Quarterly_Financials!E15),ABS(Quarterly_Financials!C16-Quarterly_Financials!D16-Quarterly_Financials!E16),ABS(Quarterly_Financials!C17-Quarterly_Financials!D17-Quarterly_Financials!E17),ABS(Quarterly_Financials!C18-Quarterly_Financials!D18-Quarterly_Financials!E18),ABS(Quarterly_Financials!C19-Quarterly_Financials!D19-Quarterly_Financials!E19),ABS(Quarterly_Financials!C20-Quarterly_Financials!D20-Quarterly_Financials!E20),ABS(Quarterly_Financials!C21-Quarterly_Financials!D21-Quarterly_Financials!E21),ABS(Quarterly_Financials!C22-Quarterly_Financials!D22-Quarterly_Financials!E22),ABS(Quarterly_Financials!C23-Quarterly_Financials!D23-Quarterly_Financials!E23),ABS(Quarterly_Financials!C24-Quarterly_Financials!D24-Quarterly_Financials!E24),ABS(Quarterly_Financials!C25-Quarterly_Financials!D25-Quarterly_Financials!E25),ABS(Quarterly_Financials!C26-Quarterly_Financials!D26-Quarterly_Financials!E26),ABS(Quarterly_Financials!C27-Quarterly_Financials!D27-Quarterly_Financials!E27),ABS(Quarterly_Financials!C28-Quarterly_Financials!D28-Quarterly_Financials!E28),ABS(Quarterly_Financials!C29-Quarterly_Financials!D29-Quarterly_Financials!E29),ABS(Quarterly_Financials!C30-Quarterly_Financials!D30-Quarterly_Financials!E30),ABS(Quarterly_Financials!C31-Quarterly_Financials!D31-Quarterly_Financials!E31),ABS(Quarterly_Financials!C32-Quarterly_Financials!D32-Quarterly_Financials!E32))</x:f>
        <x:v>2.8421709430404007e-13</x:v>
      </x:c>
      <x:c r="E6" s="82" t="n">
        <x:v>0.001</x:v>
      </x:c>
      <x:c r="F6" s="83" t="str">
        <x:f>IF(D6&lt;=E6,"PASS","FAIL")</x:f>
        <x:v>PASS</x:v>
      </x:c>
      <x:c r="G6" s="43" t="str">
        <x:v>All rows</x:v>
      </x:c>
    </x:row>
    <x:row r="7">
      <x:c r="A7" s="43" t="str">
        <x:v>VAL-002</x:v>
      </x:c>
      <x:c r="B7" s="43" t="str">
        <x:v>Annual_Financials</x:v>
      </x:c>
      <x:c r="C7" s="43" t="str">
        <x:v>Revenue − COGS − gross profit absolute max</x:v>
      </x:c>
      <x:c r="D7" s="82" t="n">
        <x:f>MAX(ABS(Annual_Financials!C6-Annual_Financials!D6-Annual_Financials!E6),ABS(Annual_Financials!C7-Annual_Financials!D7-Annual_Financials!E7),ABS(Annual_Financials!C8-Annual_Financials!D8-Annual_Financials!E8),ABS(Annual_Financials!C9-Annual_Financials!D9-Annual_Financials!E9),ABS(Annual_Financials!C10-Annual_Financials!D10-Annual_Financials!E10),ABS(Annual_Financials!C11-Annual_Financials!D11-Annual_Financials!E11),ABS(Annual_Financials!C12-Annual_Financials!D12-Annual_Financials!E12),ABS(Annual_Financials!C13-Annual_Financials!D13-Annual_Financials!E13))</x:f>
        <x:v>1.1368683772161603e-13</x:v>
      </x:c>
      <x:c r="E7" s="82" t="n">
        <x:v>0.001</x:v>
      </x:c>
      <x:c r="F7" s="83" t="str">
        <x:f>IF(D7&lt;=E7,"PASS","FAIL")</x:f>
        <x:v>PASS</x:v>
      </x:c>
      <x:c r="G7" s="43" t="str">
        <x:v>All rows</x:v>
      </x:c>
    </x:row>
    <x:row r="8">
      <x:c r="A8" s="43" t="str">
        <x:v>VAL-003</x:v>
      </x:c>
      <x:c r="B8" s="43" t="str">
        <x:v>Quarterly_Financials</x:v>
      </x:c>
      <x:c r="C8" s="43" t="str">
        <x:v>Latest period</x:v>
      </x:c>
      <x:c r="D8" s="43" t="str">
        <x:f>Quarterly_Financials!A32</x:f>
        <x:v>2026Q1</x:v>
      </x:c>
      <x:c r="E8" s="43" t="str">
        <x:v>2026Q1</x:v>
      </x:c>
      <x:c r="F8" s="83" t="str">
        <x:f>IF(D8=E8,"PASS","FAIL")</x:f>
        <x:v>PASS</x:v>
      </x:c>
      <x:c r="G8" s="43" t="str">
        <x:v>Data cutoff before Q2 2026 release</x:v>
      </x:c>
    </x:row>
    <x:row r="9">
      <x:c r="A9" s="43" t="str">
        <x:v>VAL-004</x:v>
      </x:c>
      <x:c r="B9" s="43" t="str">
        <x:v>Quarterly_Financials</x:v>
      </x:c>
      <x:c r="C9" s="43" t="str">
        <x:v>Latest revenue tie-out</x:v>
      </x:c>
      <x:c r="D9" s="84" t="n">
        <x:f>Quarterly_Financials!C32</x:f>
        <x:v>1006.426</x:v>
      </x:c>
      <x:c r="E9" s="84" t="n">
        <x:v>1006.426</x:v>
      </x:c>
      <x:c r="F9" s="83" t="str">
        <x:f>IF(ABS(D9-E9)&lt;=0.001,"PASS","FAIL")</x:f>
        <x:v>PASS</x:v>
      </x:c>
      <x:c r="G9" s="43" t="str">
        <x:v>Q1 2026 official release</x:v>
      </x:c>
    </x:row>
    <x:row r="10">
      <x:c r="A10" s="43" t="str">
        <x:v>VAL-005</x:v>
      </x:c>
      <x:c r="B10" s="43" t="str">
        <x:v>Quarterly_Financials</x:v>
      </x:c>
      <x:c r="C10" s="43" t="str">
        <x:v>Latest non-GAAP gross margin tie-out</x:v>
      </x:c>
      <x:c r="D10" s="85" t="n">
        <x:f>Quarterly_Financials!H32</x:f>
        <x:v>0.8020718860601773</x:v>
      </x:c>
      <x:c r="E10" s="85" t="n">
        <x:v>0.802</x:v>
      </x:c>
      <x:c r="F10" s="83" t="str">
        <x:f>IF(ABS(D10-E10)&lt;=0.001,"PASS","FAIL")</x:f>
        <x:v>PASS</x:v>
      </x:c>
      <x:c r="G10" s="43" t="str">
        <x:v>Tolerance ±0.001</x:v>
      </x:c>
    </x:row>
    <x:row r="11">
      <x:c r="A11" s="43" t="str">
        <x:v>VAL-006</x:v>
      </x:c>
      <x:c r="B11" s="43" t="str">
        <x:v>Source_Index</x:v>
      </x:c>
      <x:c r="C11" s="43" t="str">
        <x:v>Blank Source IDs</x:v>
      </x:c>
      <x:c r="D11" s="43" t="n">
        <x:f>COUNTBLANK(Source_Index!A6:A61)</x:f>
        <x:v>0</x:v>
      </x:c>
      <x:c r="E11" s="43" t="n">
        <x:v>0</x:v>
      </x:c>
      <x:c r="F11" s="83" t="str">
        <x:f>IF(D11=E11,"PASS","FAIL")</x:f>
        <x:v>PASS</x:v>
      </x:c>
      <x:c r="G11" s="43" t="str">
        <x:v>Major facts only</x:v>
      </x:c>
    </x:row>
    <x:row r="12">
      <x:c r="A12" s="43" t="str">
        <x:v>VAL-007</x:v>
      </x:c>
      <x:c r="B12" s="43" t="str">
        <x:v>Pricing_Current</x:v>
      </x:c>
      <x:c r="C12" s="43" t="str">
        <x:v>Parsed pricing rows</x:v>
      </x:c>
      <x:c r="D12" s="43" t="n">
        <x:f>COUNTA(Pricing_Current!B6:B108)</x:f>
        <x:v>103</x:v>
      </x:c>
      <x:c r="E12" s="43" t="n">
        <x:v>103</x:v>
      </x:c>
      <x:c r="F12" s="83" t="str">
        <x:f>IF(D12=E12,"PASS","FAIL")</x:f>
        <x:v>PASS</x:v>
      </x:c>
      <x:c r="G12" s="43" t="str">
        <x:v>Official price list snapshot</x:v>
      </x:c>
    </x:row>
    <x:row r="13">
      <x:c r="A13" s="43" t="str">
        <x:v>VAL-008</x:v>
      </x:c>
      <x:c r="B13" s="43" t="str">
        <x:v>Geography</x:v>
      </x:c>
      <x:c r="C13" s="43" t="str">
        <x:v>FY2025 NA + International − Total</x:v>
      </x:c>
      <x:c r="D13" s="43" t="n">
        <x:f>ABS(Geography!B8+Geography!C8-Geography!D8)</x:f>
        <x:v>4.547473508864641e-13</x:v>
      </x:c>
      <x:c r="E13" s="43" t="n">
        <x:v>0</x:v>
      </x:c>
      <x:c r="F13" s="83" t="str">
        <x:f>IF(D13&lt;=0.001,"PASS","FAIL")</x:f>
        <x:v>PASS</x:v>
      </x:c>
      <x:c r="G13" s="43" t="str">
        <x:v>USD mm</x:v>
      </x:c>
    </x:row>
    <x:row r="14">
      <x:c r="A14" s="43" t="str">
        <x:v>VAL-009</x:v>
      </x:c>
      <x:c r="B14" s="43" t="str">
        <x:v>Margin_Framework</x:v>
      </x:c>
      <x:c r="C14" s="43" t="str">
        <x:v>Revenue allocation total</x:v>
      </x:c>
      <x:c r="D14" s="85" t="n">
        <x:f>Margin_Framework!D15</x:f>
        <x:v>0</x:v>
      </x:c>
      <x:c r="E14" s="85" t="n">
        <x:v>1</x:v>
      </x:c>
      <x:c r="F14" s="83" t="str">
        <x:f>IF(D14=0,"NOT RUN",IF(ABS(D14-E14)&lt;=0.0001,"PASS","FAIL"))</x:f>
        <x:v>NOT RUN</x:v>
      </x:c>
      <x:c r="G14" s="43" t="str">
        <x:v>Expected only after assumptions are entered</x:v>
      </x:c>
    </x:row>
    <x:row r="15">
      <x:c r="A15" s="45" t="str">
        <x:v>VAL-010</x:v>
      </x:c>
      <x:c r="B15" s="45" t="str">
        <x:v>Margin_Framework</x:v>
      </x:c>
      <x:c r="C15" s="45" t="str">
        <x:v>COGS allocation total</x:v>
      </x:c>
      <x:c r="D15" s="86" t="n">
        <x:f>Margin_Framework!E15</x:f>
        <x:v>0</x:v>
      </x:c>
      <x:c r="E15" s="86" t="n">
        <x:v>1</x:v>
      </x:c>
      <x:c r="F15" s="87" t="str">
        <x:f>IF(D15=0,"NOT RUN",IF(ABS(D15-E15)&lt;=0.0001,"PASS","FAIL"))</x:f>
        <x:v>NOT RUN</x:v>
      </x:c>
      <x:c r="G15" s="45" t="str">
        <x:v>Expected only after assumptions are entered</x:v>
      </x:c>
    </x:row>
  </x:sheetData>
  <x:mergeCells>
    <x:mergeCell ref="A1:G2"/>
    <x:mergeCell ref="A3:G3"/>
  </x:mergeCells>
  <x:pageMargins left="0.7" right="0.7" top="0.75" bottom="0.75" header="0.3" footer="0.3"/>
  <x:tableParts count="1">
    <x:tablePart xmlns:r="http://schemas.openxmlformats.org/officeDocument/2006/relationships" r:id="R662efd00054e4ad6"/>
  </x:tableParts>
</x:worksheet>
</file>