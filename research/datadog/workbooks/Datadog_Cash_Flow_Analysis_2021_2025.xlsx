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arasvynnychuk/Projects/personal/hypothesis/outputs/datadog_cash_flow_20260729/"/>
    </mc:Choice>
  </mc:AlternateContent>
  <xr:revisionPtr revIDLastSave="0" documentId="13_ncr:1_{0DA64B66-B6A9-4C44-A613-9D87A2475F53}" xr6:coauthVersionLast="47" xr6:coauthVersionMax="47" xr10:uidLastSave="{00000000-0000-0000-0000-000000000000}"/>
  <bookViews>
    <workbookView xWindow="0" yWindow="700" windowWidth="27040" windowHeight="15820" activeTab="1" xr2:uid="{00000000-000D-0000-FFFF-FFFF00000000}"/>
  </bookViews>
  <sheets>
    <sheet name="Огляд" sheetId="1" r:id="rId1"/>
    <sheet name="Cash Flow" sheetId="2" r:id="rId2"/>
    <sheet name="FCF" sheetId="3" r:id="rId3"/>
    <sheet name="OCF vs NI" sheetId="4" r:id="rId4"/>
    <sheet name="Дані" sheetId="5" r:id="rId5"/>
    <sheet name="Перевірки" sheetId="6" r:id="rId6"/>
    <sheet name="Джерел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B11" i="4"/>
  <c r="B18" i="3"/>
  <c r="D16" i="3"/>
  <c r="C16" i="3"/>
  <c r="B17" i="3"/>
  <c r="E20" i="6"/>
  <c r="F20" i="6" s="1"/>
  <c r="H20" i="6" s="1"/>
  <c r="D17" i="6"/>
  <c r="D16" i="6"/>
  <c r="D15" i="6"/>
  <c r="D14" i="6"/>
  <c r="D13" i="6"/>
  <c r="D10" i="6"/>
  <c r="D9" i="6"/>
  <c r="K10" i="4"/>
  <c r="J10" i="4"/>
  <c r="I10" i="4"/>
  <c r="F10" i="4"/>
  <c r="E10" i="4"/>
  <c r="E11" i="4" s="1"/>
  <c r="D10" i="4"/>
  <c r="M35" i="1" s="1"/>
  <c r="C10" i="4"/>
  <c r="C11" i="4" s="1"/>
  <c r="B10" i="4"/>
  <c r="K9" i="4"/>
  <c r="J9" i="4"/>
  <c r="I9" i="4"/>
  <c r="K8" i="4"/>
  <c r="J8" i="4"/>
  <c r="I8" i="4"/>
  <c r="K7" i="4"/>
  <c r="J7" i="4"/>
  <c r="I7" i="4"/>
  <c r="F7" i="4"/>
  <c r="F8" i="4" s="1"/>
  <c r="E7" i="4"/>
  <c r="E8" i="4" s="1"/>
  <c r="E12" i="4" s="1"/>
  <c r="D7" i="4"/>
  <c r="D8" i="4" s="1"/>
  <c r="D12" i="4" s="1"/>
  <c r="C7" i="4"/>
  <c r="C8" i="4" s="1"/>
  <c r="C12" i="4" s="1"/>
  <c r="B7" i="4"/>
  <c r="B8" i="4" s="1"/>
  <c r="B12" i="4" s="1"/>
  <c r="K6" i="4"/>
  <c r="J6" i="4"/>
  <c r="I6" i="4"/>
  <c r="F6" i="4"/>
  <c r="F9" i="4" s="1"/>
  <c r="E6" i="4"/>
  <c r="E9" i="4" s="1"/>
  <c r="D6" i="4"/>
  <c r="L35" i="1" s="1"/>
  <c r="C6" i="4"/>
  <c r="C9" i="4" s="1"/>
  <c r="B6" i="4"/>
  <c r="L33" i="1" s="1"/>
  <c r="K10" i="3"/>
  <c r="I10" i="3"/>
  <c r="F10" i="3"/>
  <c r="E10" i="3"/>
  <c r="D10" i="3"/>
  <c r="C10" i="3"/>
  <c r="B10" i="3"/>
  <c r="K9" i="3"/>
  <c r="K8" i="3"/>
  <c r="F8" i="3"/>
  <c r="E8" i="3"/>
  <c r="D8" i="3"/>
  <c r="C8" i="3"/>
  <c r="B8" i="3"/>
  <c r="K7" i="3"/>
  <c r="F7" i="3"/>
  <c r="F11" i="3" s="1"/>
  <c r="E7" i="3"/>
  <c r="I9" i="3" s="1"/>
  <c r="D7" i="3"/>
  <c r="I8" i="3" s="1"/>
  <c r="C7" i="3"/>
  <c r="I7" i="3" s="1"/>
  <c r="B7" i="3"/>
  <c r="I6" i="3" s="1"/>
  <c r="K6" i="3"/>
  <c r="F6" i="3"/>
  <c r="E6" i="3"/>
  <c r="D6" i="3"/>
  <c r="C6" i="3"/>
  <c r="B6" i="3"/>
  <c r="F24" i="2"/>
  <c r="E24" i="2"/>
  <c r="D24" i="2"/>
  <c r="N43" i="1" s="1"/>
  <c r="C24" i="2"/>
  <c r="D7" i="6" s="1"/>
  <c r="B24" i="2"/>
  <c r="D6" i="6" s="1"/>
  <c r="F20" i="2"/>
  <c r="L45" i="1" s="1"/>
  <c r="E20" i="2"/>
  <c r="D20" i="2"/>
  <c r="D23" i="2" s="1"/>
  <c r="M43" i="1" s="1"/>
  <c r="C20" i="2"/>
  <c r="B20" i="2"/>
  <c r="F17" i="2"/>
  <c r="E17" i="2"/>
  <c r="D17" i="2"/>
  <c r="C17" i="2"/>
  <c r="K42" i="1" s="1"/>
  <c r="B17" i="2"/>
  <c r="F16" i="2"/>
  <c r="F15" i="2"/>
  <c r="E15" i="2"/>
  <c r="D15" i="2"/>
  <c r="C15" i="2"/>
  <c r="C16" i="2" s="1"/>
  <c r="B15" i="2"/>
  <c r="F14" i="2"/>
  <c r="E14" i="2"/>
  <c r="E16" i="2" s="1"/>
  <c r="D14" i="2"/>
  <c r="D16" i="2" s="1"/>
  <c r="C14" i="2"/>
  <c r="B14" i="2"/>
  <c r="B16" i="2" s="1"/>
  <c r="F11" i="2"/>
  <c r="F23" i="2" s="1"/>
  <c r="E11" i="2"/>
  <c r="J44" i="1" s="1"/>
  <c r="D11" i="2"/>
  <c r="C11" i="2"/>
  <c r="B11" i="2"/>
  <c r="C10" i="2"/>
  <c r="B10" i="2"/>
  <c r="F9" i="2"/>
  <c r="E9" i="2"/>
  <c r="D9" i="2"/>
  <c r="C9" i="2"/>
  <c r="B9" i="2"/>
  <c r="F8" i="2"/>
  <c r="E8" i="2"/>
  <c r="D8" i="2"/>
  <c r="D10" i="2" s="1"/>
  <c r="C8" i="2"/>
  <c r="B8" i="2"/>
  <c r="F7" i="2"/>
  <c r="F10" i="2" s="1"/>
  <c r="E7" i="2"/>
  <c r="E10" i="2" s="1"/>
  <c r="D7" i="2"/>
  <c r="C7" i="2"/>
  <c r="B7" i="2"/>
  <c r="N45" i="1"/>
  <c r="K45" i="1"/>
  <c r="N44" i="1"/>
  <c r="L44" i="1"/>
  <c r="K44" i="1"/>
  <c r="K43" i="1"/>
  <c r="J43" i="1"/>
  <c r="L42" i="1"/>
  <c r="J42" i="1"/>
  <c r="L41" i="1"/>
  <c r="K41" i="1"/>
  <c r="J41" i="1"/>
  <c r="M37" i="1"/>
  <c r="L37" i="1"/>
  <c r="M36" i="1"/>
  <c r="L36" i="1"/>
  <c r="J36" i="1"/>
  <c r="J35" i="1"/>
  <c r="M34" i="1"/>
  <c r="L34" i="1"/>
  <c r="J34" i="1"/>
  <c r="M33" i="1"/>
  <c r="A16" i="1"/>
  <c r="M16" i="1" l="1"/>
  <c r="J10" i="3"/>
  <c r="K37" i="1"/>
  <c r="F12" i="3"/>
  <c r="E17" i="6"/>
  <c r="F17" i="6" s="1"/>
  <c r="H17" i="6" s="1"/>
  <c r="F19" i="3"/>
  <c r="E16" i="1"/>
  <c r="M45" i="1"/>
  <c r="F25" i="2"/>
  <c r="E10" i="6" s="1"/>
  <c r="F10" i="6" s="1"/>
  <c r="H10" i="6" s="1"/>
  <c r="C25" i="2"/>
  <c r="E7" i="6" s="1"/>
  <c r="F7" i="6" s="1"/>
  <c r="H7" i="6" s="1"/>
  <c r="F12" i="4"/>
  <c r="I16" i="1"/>
  <c r="D25" i="2"/>
  <c r="E8" i="6" s="1"/>
  <c r="F8" i="6" s="1"/>
  <c r="H8" i="6" s="1"/>
  <c r="N42" i="1"/>
  <c r="B9" i="3"/>
  <c r="B11" i="3"/>
  <c r="B23" i="2"/>
  <c r="M41" i="1" s="1"/>
  <c r="C9" i="3"/>
  <c r="C18" i="3" s="1"/>
  <c r="C11" i="3"/>
  <c r="B9" i="4"/>
  <c r="J33" i="1"/>
  <c r="J37" i="1"/>
  <c r="N41" i="1"/>
  <c r="L43" i="1"/>
  <c r="J45" i="1"/>
  <c r="C23" i="2"/>
  <c r="M42" i="1" s="1"/>
  <c r="D9" i="3"/>
  <c r="D11" i="3"/>
  <c r="E9" i="3"/>
  <c r="E11" i="3"/>
  <c r="D9" i="4"/>
  <c r="D11" i="4"/>
  <c r="D8" i="6"/>
  <c r="E23" i="2"/>
  <c r="M44" i="1" s="1"/>
  <c r="F9" i="3"/>
  <c r="F18" i="3" s="1"/>
  <c r="E25" i="2"/>
  <c r="E9" i="6" s="1"/>
  <c r="F9" i="6" s="1"/>
  <c r="H9" i="6" s="1"/>
  <c r="E19" i="3" l="1"/>
  <c r="J9" i="3"/>
  <c r="E16" i="6"/>
  <c r="F16" i="6" s="1"/>
  <c r="H16" i="6" s="1"/>
  <c r="E16" i="3"/>
  <c r="E12" i="3"/>
  <c r="K36" i="1"/>
  <c r="E18" i="3"/>
  <c r="D18" i="3"/>
  <c r="C19" i="3"/>
  <c r="K34" i="1"/>
  <c r="J7" i="3"/>
  <c r="E14" i="6"/>
  <c r="F14" i="6" s="1"/>
  <c r="H14" i="6" s="1"/>
  <c r="C12" i="3"/>
  <c r="D12" i="3"/>
  <c r="J8" i="3"/>
  <c r="K35" i="1"/>
  <c r="E15" i="6"/>
  <c r="F15" i="6" s="1"/>
  <c r="H15" i="6" s="1"/>
  <c r="D19" i="3"/>
  <c r="B12" i="3"/>
  <c r="J6" i="3"/>
  <c r="B19" i="3"/>
  <c r="K33" i="1"/>
  <c r="E13" i="6"/>
  <c r="F13" i="6" s="1"/>
  <c r="H13" i="6" s="1"/>
  <c r="F16" i="3"/>
  <c r="B25" i="2"/>
  <c r="E6" i="6" s="1"/>
  <c r="F6" i="6" s="1"/>
  <c r="H6" i="6" s="1"/>
  <c r="G2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tc={211520F2-FF61-0685-8A17-FE1E4BF7D2DD}</author>
    <author>tc={6A84BEA1-916F-B092-0476-7209E029274F}</author>
    <author>tc={8B31F8C9-A5DB-419C-FD24-D4DAB5432A34}</author>
    <author>tc={63A0B8EB-06A8-223E-856B-41A7776C9E4A}</author>
    <author>tc={9F2CE2A7-202E-8FF1-65A8-9FF168FFAFCF}</author>
    <author>tc={5FCA2285-23EB-3F71-D374-D49A6AD70CE6}</author>
    <author>tc={24EEBF2F-1A1E-7562-B9CF-0132C2DEBBBF}</author>
    <author>tc={77E69F96-9748-4555-DFA5-31E79C0B0918}</author>
    <author>tc={883FF0B2-4289-BE32-9E52-01E0D229704C}</author>
    <author>tc={24426835-C8D9-49B7-99D1-722540601F9B}</author>
    <author>tc={C11A6199-2F9C-5649-823A-87B8D7C0D05B}</author>
    <author>tc={60BB6404-6028-2B50-2E4C-802A16EEA4B6}</author>
  </authors>
  <commentList>
    <comment ref="A6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Revenue. Full URLs and filing locations are on the "Джерела" sheet.</t>
      </text>
    </comment>
    <comment ref="A7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Net income (loss). Full URLs and filing locations are on the "Джерела" sheet.</t>
      </text>
    </comment>
    <comment ref="A8" authorId="2" shapeId="0" xr:uid="{00000000-0006-0000-0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Depreciation &amp; amortization. Full URLs and filing locations are on the "Джерела" sheet.</t>
      </text>
    </comment>
    <comment ref="A9" authorId="3" shapeId="0" xr:uid="{00000000-0006-0000-04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Stock-based compensation, net of amounts capitalized. Full URLs and filing locations are on the "Джерела" sheet.</t>
      </text>
    </comment>
    <comment ref="A10" authorId="4" shapeId="0" xr:uid="{00000000-0006-0000-04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Net cash provided by operating activities. Full URLs and filing locations are on the "Джерела" sheet.</t>
      </text>
    </comment>
    <comment ref="A11" authorId="5" shapeId="0" xr:uid="{00000000-0006-0000-04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Net cash used in investing activities. Full URLs and filing locations are on the "Джерела" sheet.</t>
      </text>
    </comment>
    <comment ref="A12" authorId="6" shapeId="0" xr:uid="{00000000-0006-0000-04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Net cash provided by / (used in) financing activities. Full URLs and filing locations are on the "Джерела" sheet.</t>
      </text>
    </comment>
    <comment ref="A13" authorId="7" shapeId="0" xr:uid="{00000000-0006-0000-04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Purchases of property &amp; equipment. Full URLs and filing locations are on the "Джерела" sheet.</t>
      </text>
    </comment>
    <comment ref="A14" authorId="8" shapeId="0" xr:uid="{00000000-0006-0000-04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Capitalized software development costs. Full URLs and filing locations are on the "Джерела" sheet.</t>
      </text>
    </comment>
    <comment ref="A15" authorId="9" shapeId="0" xr:uid="{00000000-0006-0000-04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Net increase / (decrease) in cash incl. FX. Full URLs and filing locations are on the "Джерела" sheet.</t>
      </text>
    </comment>
    <comment ref="A16" authorId="10" shapeId="0" xr:uid="{00000000-0006-0000-04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Cash &amp; cash equivalents — end of period. Full URLs and filing locations are on the "Джерела" sheet.</t>
      </text>
    </comment>
    <comment ref="A17" authorId="11" shapeId="0" xr:uid="{00000000-0006-0000-04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SRC-002 for FY2021–FY2023 and SRC-001 for FY2024–FY2025. Metric: Company-reported non-GAAP free cash flow. Full URLs and filing locations are on the "Джерела" sheet.</t>
      </text>
    </comment>
  </commentList>
</comments>
</file>

<file path=xl/sharedStrings.xml><?xml version="1.0" encoding="utf-8"?>
<sst xmlns="http://schemas.openxmlformats.org/spreadsheetml/2006/main" count="218" uniqueCount="159">
  <si>
    <t>Datadog (NASDAQ: DDOG) — Cash Flow навчальний файл</t>
  </si>
  <si>
    <t>FY2021–FY2025 | USD млн | актуально за Form 10-K, поданим 18 лютого 2026 року</t>
  </si>
  <si>
    <t>ЧЕКЛИСТ ДО УРОКУ</t>
  </si>
  <si>
    <t>Статус</t>
  </si>
  <si>
    <t>Завдання</t>
  </si>
  <si>
    <t>Ваші нотатки / відповідь після аналізу (сині клітинки можна редагувати)</t>
  </si>
  <si>
    <t>Не розпочато</t>
  </si>
  <si>
    <t>Знайти cash flow statement компанії і пройтись по 3 блоках</t>
  </si>
  <si>
    <t>Порахувати free cash flow і подивитись його динаміку за кілька років</t>
  </si>
  <si>
    <t>Порівняти operating cash flow з чистим прибутком — чи немає розриву</t>
  </si>
  <si>
    <t>КЛЮЧОВІ ПОКАЗНИКИ FY2025</t>
  </si>
  <si>
    <t>Operating cash flow</t>
  </si>
  <si>
    <t>Datadog free cash flow</t>
  </si>
  <si>
    <t>Розрив OCF − Net income</t>
  </si>
  <si>
    <t>FCF CAGR 2021–2025</t>
  </si>
  <si>
    <t>ЩО ВИДНО З ТРЬОХ БЛОКІВ</t>
  </si>
  <si>
    <t>ГОЛОВНИЙ ВИСНОВОК</t>
  </si>
  <si>
    <t>• Операції: OCF зростав щороку й у 2025 перевищив $1,05 млрд.
• Інвестиції: CFI у 2025 становив −$1,33 млрд, переважно через marketable securities, M&amp;A та більші інвестиції у ПЗ/PP&amp;E.
• Фінансування: після великого припливу у 2024 ($787,1 млн) у 2025 відтік склав −$572,5 млн через погашення конвертованих нот і відсутність повторення випуску боргу.</t>
  </si>
  <si>
    <t>Datadog має сильну динаміку OCF і FCF, але великий розрив із GAAP net income значною мірою створює stock-based compensation. Тому позитивний cash flow варто читати разом із SBC, розмиванням, deferred revenue та капіталізованою розробкою ПЗ.</t>
  </si>
  <si>
    <t>Рік</t>
  </si>
  <si>
    <t>Datadog FCF</t>
  </si>
  <si>
    <t>Net income</t>
  </si>
  <si>
    <t>SBC</t>
  </si>
  <si>
    <t>Operating</t>
  </si>
  <si>
    <t>Investing</t>
  </si>
  <si>
    <t>Financing</t>
  </si>
  <si>
    <t>FX</t>
  </si>
  <si>
    <t>Net change</t>
  </si>
  <si>
    <t>Cash Flow Statement — 3 блоки</t>
  </si>
  <si>
    <t>Навчальна декомпозиція. Зелений шрифт = посилання на інший аркуш; чорний = формула на цьому аркуші.</t>
  </si>
  <si>
    <t>Метрика</t>
  </si>
  <si>
    <t>Як читати / що сталося у 2025</t>
  </si>
  <si>
    <t>1. ОПЕРАЦІЙНА ДІЯЛЬНІСТЬ — чи генерує основний бізнес готівку?</t>
  </si>
  <si>
    <t>Net income (loss)</t>
  </si>
  <si>
    <t>Depreciation &amp; amortization</t>
  </si>
  <si>
    <t>Stock-based compensation</t>
  </si>
  <si>
    <t>Інші негрошові коригування та зміни оборотного капіталу</t>
  </si>
  <si>
    <t>Net cash provided by operating activities (OCF)</t>
  </si>
  <si>
    <t>OCF зріс на $179,5 млн. Основний плюс — більші негрошові витрати (передусім SBC), deferred revenue та accrued liabilities; частково нівельовано зростанням A/R і deferred contract costs.</t>
  </si>
  <si>
    <t>2. ІНВЕСТИЦІЙНА ДІЯЛЬНІСТЬ — куди компанія вкладає готівку?</t>
  </si>
  <si>
    <t>Purchases of property &amp; equipment</t>
  </si>
  <si>
    <t>Capitalized software development costs</t>
  </si>
  <si>
    <t>Інші інвестиції (ринкові цінні папери, M&amp;A тощо)</t>
  </si>
  <si>
    <t>Net cash used in investing activities (CFI)</t>
  </si>
  <si>
    <t>CFI-відтік збільшився на $597,6 млн: більше купівель marketable securities, M&amp;A, капіталізованого ПЗ та PP&amp;E; частково компенсовано більшими погашеннями/продажами цінних паперів.</t>
  </si>
  <si>
    <t>3. ФІНАНСОВА ДІЯЛЬНІСТЬ — як компанія залучає або повертає капітал?</t>
  </si>
  <si>
    <t>Net cash provided by / (used in) financing activities (CFF)</t>
  </si>
  <si>
    <t>У 2025 CFF став від’ємним: погашення 2025 Notes і відсутність повторення великого випуску 2029 Notes, який підтримав 2024 рік.</t>
  </si>
  <si>
    <t>ЗВЕДЕННЯ РУХУ ГОТІВКИ</t>
  </si>
  <si>
    <t>Ефект валютних курсів (розрахунково)</t>
  </si>
  <si>
    <t>Net increase / (decrease) in cash incl. FX</t>
  </si>
  <si>
    <t>Контроль: OCF + CFI + CFF + FX</t>
  </si>
  <si>
    <t>Free Cash Flow — розрахунок і динаміка</t>
  </si>
  <si>
    <t>Datadog FCF (non-GAAP) = OCF − PP&amp;E purchases − capitalized software development. Класичний FCF нижче показано для порівняння дефініцій.</t>
  </si>
  <si>
    <t>Revenue</t>
  </si>
  <si>
    <t>Less: PP&amp;E purchases</t>
  </si>
  <si>
    <t>Класичний FCF = OCF − PP&amp;E capex</t>
  </si>
  <si>
    <t>Less: Capitalized software development</t>
  </si>
  <si>
    <t>Datadog FCF (company definition)</t>
  </si>
  <si>
    <t>FCF margin</t>
  </si>
  <si>
    <t>ДИНАМІКА ТА КОНТРОЛЬ</t>
  </si>
  <si>
    <t>YoY growth — Datadog FCF</t>
  </si>
  <si>
    <t>CAGR 2021–2025</t>
  </si>
  <si>
    <t>Різниця: класичний FCF − Datadog FCF</t>
  </si>
  <si>
    <t>Контроль vs company-reported FCF</t>
  </si>
  <si>
    <t>КЛЮЧОВИЙ ВИСНОВОК</t>
  </si>
  <si>
    <t>FCF Datadog зріс із $250,5 млн у 2021 до $914,7 млн у 2025 (CAGR ≈ 38%). Маржа FCF у 2025 становить близько 26,7%. Водночас компанійна дефініція є суворішою за простий OCF − PP&amp;E capex, бо додатково віднімає капіталізовану розробку ПЗ.</t>
  </si>
  <si>
    <t>Operating Cash Flow vs Net Income</t>
  </si>
  <si>
    <t>Мета: побачити, чи немає розриву між бухгалтерським прибутком і грошовим потоком — та зрозуміти, що саме створює розрив.</t>
  </si>
  <si>
    <t>Розрив: OCF − Net income</t>
  </si>
  <si>
    <t>OCF / Net income (лише коли NI &gt; 0)</t>
  </si>
  <si>
    <t>SBC як % розриву</t>
  </si>
  <si>
    <t>Розрив після виключення SBC</t>
  </si>
  <si>
    <t>ІНТЕРПРЕТАЦІЯ</t>
  </si>
  <si>
    <t>Розрив є великим і позитивним: OCF суттєво перевищує GAAP net income в усі роки. Це не автоматично означає «високу якість прибутку»: у 2025 близько 79,7% розриву пояснюється stock-based compensation — негрошовою витратою, яка додається назад у cash flow statement, але може розмивати акціонерів.</t>
  </si>
  <si>
    <t>Після виключення SBC розрив залишається позитивним ($191,7 млн у 2025), але значно меншим. Практичний висновок: дивись одночасно на OCF/FCF, динаміку SBC, deferred revenue, accounts receivable і капіталізоване ПЗ.</t>
  </si>
  <si>
    <t>Datadog — історичні вхідні дані</t>
  </si>
  <si>
    <t>USD млн; FY закінчується 31 грудня. Значення імпортовані з 10-K / SEC Companyfacts і не є редагованими припущеннями.</t>
  </si>
  <si>
    <t>Одиниці</t>
  </si>
  <si>
    <t>Source ID</t>
  </si>
  <si>
    <t>XBRL tag / визначення</t>
  </si>
  <si>
    <t>USD млн</t>
  </si>
  <si>
    <t>SRC-001 / SRC-002</t>
  </si>
  <si>
    <t>RevenueFromContractWithCustomerExcludingAssessedTax</t>
  </si>
  <si>
    <t>NetIncomeLoss</t>
  </si>
  <si>
    <t>DepreciationAndAmortization</t>
  </si>
  <si>
    <t>Stock-based compensation, net of amounts capitalized</t>
  </si>
  <si>
    <t>AllocatedShareBasedCompensationExpense</t>
  </si>
  <si>
    <t>Net cash provided by operating activities</t>
  </si>
  <si>
    <t>NetCashProvidedByUsedInOperatingActivities</t>
  </si>
  <si>
    <t>Net cash used in investing activities</t>
  </si>
  <si>
    <t>NetCashProvidedByUsedInInvestingActivities</t>
  </si>
  <si>
    <t>Net cash provided by / (used in) financing activities</t>
  </si>
  <si>
    <t>NetCashProvidedByUsedInFinancingActivities</t>
  </si>
  <si>
    <t>PaymentsToAcquirePropertyPlantAndEquipment</t>
  </si>
  <si>
    <t>PaymentsToDevelopSoftware</t>
  </si>
  <si>
    <t>CashCashEquivalents…IncreaseDecreaseIncludingExchangeRateEffect</t>
  </si>
  <si>
    <t>Cash &amp; cash equivalents — end of period</t>
  </si>
  <si>
    <t>CashAndCashEquivalentsAtCarryingValue</t>
  </si>
  <si>
    <t>Company-reported non-GAAP free cash flow</t>
  </si>
  <si>
    <t>OCF − PP&amp;E purchases − capitalized software development</t>
  </si>
  <si>
    <t>Перевірки моделі</t>
  </si>
  <si>
    <t>Кожна перевірка має окремі очікуване значення, фактичне значення, відхилення, допуск і статус.</t>
  </si>
  <si>
    <t>Check ID</t>
  </si>
  <si>
    <t>Область</t>
  </si>
  <si>
    <t>Період</t>
  </si>
  <si>
    <t>Очікуване</t>
  </si>
  <si>
    <t>Фактичне</t>
  </si>
  <si>
    <t>Різниця</t>
  </si>
  <si>
    <t>Допуск</t>
  </si>
  <si>
    <t>CF-1</t>
  </si>
  <si>
    <t>3-block cash flow tie</t>
  </si>
  <si>
    <t>CF-2</t>
  </si>
  <si>
    <t>CF-3</t>
  </si>
  <si>
    <t>CF-4</t>
  </si>
  <si>
    <t>CF-5</t>
  </si>
  <si>
    <t>FCF-1</t>
  </si>
  <si>
    <t>Datadog FCF tie</t>
  </si>
  <si>
    <t>FCF-2</t>
  </si>
  <si>
    <t>FCF-3</t>
  </si>
  <si>
    <t>FCF-4</t>
  </si>
  <si>
    <t>FCF-5</t>
  </si>
  <si>
    <t>SRC-1</t>
  </si>
  <si>
    <t>Source IDs complete</t>
  </si>
  <si>
    <t>2021–2025</t>
  </si>
  <si>
    <t>ЗАГАЛЬНИЙ СТАТУС</t>
  </si>
  <si>
    <t>Модель проходить, якщо всі 11 перевірок мають статус OK.</t>
  </si>
  <si>
    <t>Джерела та методологія</t>
  </si>
  <si>
    <t>Первинні публічні джерела. Повні URL наведені як plain text для аудиту.</t>
  </si>
  <si>
    <t>Назва</t>
  </si>
  <si>
    <t>Тип</t>
  </si>
  <si>
    <t>Періоди</t>
  </si>
  <si>
    <t>As-of / filing date</t>
  </si>
  <si>
    <t>Retrieved</t>
  </si>
  <si>
    <t>Rank</t>
  </si>
  <si>
    <t>Freshness</t>
  </si>
  <si>
    <t>Location / URL</t>
  </si>
  <si>
    <t>Примітка</t>
  </si>
  <si>
    <t>SRC-001</t>
  </si>
  <si>
    <t>Datadog FY2025 Form 10-K</t>
  </si>
  <si>
    <t>filing</t>
  </si>
  <si>
    <t>FY2023–FY2025</t>
  </si>
  <si>
    <t>current</t>
  </si>
  <si>
    <t>https://www.sec.gov/Archives/edgar/data/1561550/000162828026008819/ddog-20251231.htm</t>
  </si>
  <si>
    <t>Statements of operations and cash flows; MD&amp;A cash-flow summary; non-GAAP FCF reconciliation (pp. 54–58 / financial statements p. 66).</t>
  </si>
  <si>
    <t>SRC-002</t>
  </si>
  <si>
    <t>Datadog FY2023 Form 10-K</t>
  </si>
  <si>
    <t>FY2021–FY2023</t>
  </si>
  <si>
    <t>acceptable_for_period</t>
  </si>
  <si>
    <t>https://www.sec.gov/Archives/edgar/data/1561550/000156155024000009/ddog-20231231.htm</t>
  </si>
  <si>
    <t>Historical 2021–2023 statements and FCF reconciliation; used because those periods are directly reported together.</t>
  </si>
  <si>
    <t>SRC-003</t>
  </si>
  <si>
    <t>SEC Companyfacts API — CIK 0001561550</t>
  </si>
  <si>
    <t>web / structured filing data</t>
  </si>
  <si>
    <t>FY2021–FY2025</t>
  </si>
  <si>
    <t>https://data.sec.gov/api/xbrl/companyfacts/CIK0001561550.json</t>
  </si>
  <si>
    <t>Used to cross-check XBRL tags, units and annual values against the rendered filings.</t>
  </si>
  <si>
    <t>МЕТОДОЛОГІЯ</t>
  </si>
  <si>
    <t>Усі суми нормалізовані з USD тис. до USD млн. Cash-flow outflows збережені зі знаком мінус. FCF Datadog — non-GAAP показник компанії; він не обов’язково порівнюваний із FCF інших емітентів. SBC — негрошове коригування OCF, але економічно може спричиняти розмивання, тому його винесено окремо.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</si>
</sst>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;[Red]\(\$#,##0.0\);\-"/>
    <numFmt numFmtId="165" formatCode="0.0%;[Red]\(0.0%\);\-"/>
    <numFmt numFmtId="166" formatCode="0.0\x;[Red]\(0.0\x\);\-"/>
    <numFmt numFmtId="167" formatCode="#,##0.0;[Red]\(#,##0.0\);\-"/>
    <numFmt numFmtId="168" formatCode="yyyy\-mm\-dd"/>
  </numFmts>
  <fonts count="20">
    <font>
      <sz val="11"/>
      <name val="Carlito"/>
    </font>
    <font>
      <sz val="10"/>
      <color rgb="FF0B1220"/>
      <name val="Aptos"/>
    </font>
    <font>
      <b/>
      <sz val="20"/>
      <color rgb="FFFFFFFF"/>
      <name val="Aptos"/>
    </font>
    <font>
      <i/>
      <sz val="10"/>
      <color rgb="FFD7E3F4"/>
      <name val="Aptos"/>
    </font>
    <font>
      <b/>
      <sz val="10"/>
      <color rgb="FF0B1220"/>
      <name val="Aptos"/>
    </font>
    <font>
      <sz val="9"/>
      <color rgb="FF64748B"/>
      <name val="Aptos"/>
    </font>
    <font>
      <b/>
      <sz val="11"/>
      <color rgb="FFFFFFFF"/>
      <name val="Aptos"/>
    </font>
    <font>
      <sz val="10"/>
      <color rgb="FF008000"/>
      <name val="Aptos"/>
    </font>
    <font>
      <b/>
      <sz val="10"/>
      <color rgb="FF008000"/>
      <name val="Aptos"/>
    </font>
    <font>
      <b/>
      <sz val="11"/>
      <color rgb="FF065F46"/>
      <name val="Aptos"/>
    </font>
    <font>
      <b/>
      <sz val="11"/>
      <color rgb="FF7C2D12"/>
      <name val="Aptos"/>
    </font>
    <font>
      <b/>
      <sz val="16"/>
      <color rgb="FF065F46"/>
      <name val="Aptos"/>
    </font>
    <font>
      <i/>
      <sz val="10"/>
      <color rgb="FF475569"/>
      <name val="Aptos"/>
    </font>
    <font>
      <b/>
      <sz val="10"/>
      <color rgb="FF0000FF"/>
      <name val="Aptos"/>
    </font>
    <font>
      <sz val="10"/>
      <color rgb="FF0000FF"/>
      <name val="Aptos"/>
    </font>
    <font>
      <b/>
      <sz val="11"/>
      <color rgb="FF475569"/>
      <name val="Aptos"/>
    </font>
    <font>
      <b/>
      <sz val="19"/>
      <color rgb="FF0B1220"/>
      <name val="Aptos"/>
    </font>
    <font>
      <b/>
      <sz val="19"/>
      <color rgb="FF059669"/>
      <name val="Aptos"/>
    </font>
    <font>
      <sz val="11"/>
      <color rgb="FF475569"/>
      <name val="Aptos"/>
    </font>
    <font>
      <b/>
      <sz val="12"/>
      <color rgb="FF065F46"/>
      <name val="Aptos"/>
    </font>
  </fonts>
  <fills count="12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62033"/>
      </patternFill>
    </fill>
    <fill>
      <patternFill patternType="solid">
        <fgColor rgb="FFE2E8F0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FFDEB"/>
      </patternFill>
    </fill>
    <fill>
      <patternFill patternType="solid">
        <fgColor rgb="FFF8FAFC"/>
      </patternFill>
    </fill>
    <fill>
      <patternFill patternType="solid">
        <fgColor rgb="FF059669"/>
      </patternFill>
    </fill>
  </fills>
  <borders count="37">
    <border>
      <left/>
      <right/>
      <top/>
      <bottom/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2563EB"/>
      </top>
      <bottom style="double">
        <color rgb="FF2563EB"/>
      </bottom>
      <diagonal/>
    </border>
    <border>
      <left style="thin">
        <color rgb="FF6EE7B7"/>
      </left>
      <right/>
      <top style="thin">
        <color rgb="FF6EE7B7"/>
      </top>
      <bottom/>
      <diagonal/>
    </border>
    <border>
      <left/>
      <right/>
      <top style="thin">
        <color rgb="FF6EE7B7"/>
      </top>
      <bottom/>
      <diagonal/>
    </border>
    <border>
      <left/>
      <right style="thin">
        <color rgb="FF6EE7B7"/>
      </right>
      <top style="thin">
        <color rgb="FF6EE7B7"/>
      </top>
      <bottom/>
      <diagonal/>
    </border>
    <border>
      <left style="thin">
        <color rgb="FF6EE7B7"/>
      </left>
      <right/>
      <top/>
      <bottom/>
      <diagonal/>
    </border>
    <border>
      <left/>
      <right style="thin">
        <color rgb="FF6EE7B7"/>
      </right>
      <top/>
      <bottom/>
      <diagonal/>
    </border>
    <border>
      <left style="thin">
        <color rgb="FF6EE7B7"/>
      </left>
      <right/>
      <top/>
      <bottom style="thin">
        <color rgb="FF6EE7B7"/>
      </bottom>
      <diagonal/>
    </border>
    <border>
      <left/>
      <right/>
      <top/>
      <bottom style="thin">
        <color rgb="FF6EE7B7"/>
      </bottom>
      <diagonal/>
    </border>
    <border>
      <left/>
      <right style="thin">
        <color rgb="FF6EE7B7"/>
      </right>
      <top/>
      <bottom style="thin">
        <color rgb="FF6EE7B7"/>
      </bottom>
      <diagonal/>
    </border>
    <border>
      <left style="thin">
        <color rgb="FFFBBF24"/>
      </left>
      <right/>
      <top style="thin">
        <color rgb="FFFBBF24"/>
      </top>
      <bottom/>
      <diagonal/>
    </border>
    <border>
      <left/>
      <right/>
      <top style="thin">
        <color rgb="FFFBBF24"/>
      </top>
      <bottom/>
      <diagonal/>
    </border>
    <border>
      <left/>
      <right style="thin">
        <color rgb="FFFBBF24"/>
      </right>
      <top style="thin">
        <color rgb="FFFBBF24"/>
      </top>
      <bottom/>
      <diagonal/>
    </border>
    <border>
      <left style="thin">
        <color rgb="FFFBBF24"/>
      </left>
      <right/>
      <top/>
      <bottom/>
      <diagonal/>
    </border>
    <border>
      <left/>
      <right style="thin">
        <color rgb="FFFBBF24"/>
      </right>
      <top/>
      <bottom/>
      <diagonal/>
    </border>
    <border>
      <left style="thin">
        <color rgb="FFFBBF24"/>
      </left>
      <right/>
      <top/>
      <bottom style="thin">
        <color rgb="FFFBBF24"/>
      </bottom>
      <diagonal/>
    </border>
    <border>
      <left/>
      <right/>
      <top/>
      <bottom style="thin">
        <color rgb="FFFBBF24"/>
      </bottom>
      <diagonal/>
    </border>
    <border>
      <left/>
      <right style="thin">
        <color rgb="FFFBBF24"/>
      </right>
      <top/>
      <bottom style="thin">
        <color rgb="FFFBBF24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FBBF24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FBBF24"/>
      </right>
      <top style="thin">
        <color rgb="FFCBD5E1"/>
      </top>
      <bottom style="thin">
        <color rgb="FF475569"/>
      </bottom>
      <diagonal/>
    </border>
    <border>
      <left/>
      <right/>
      <top style="thin">
        <color rgb="FFCBD5E1"/>
      </top>
      <bottom style="thin">
        <color rgb="FF475569"/>
      </bottom>
      <diagonal/>
    </border>
    <border>
      <left style="thin">
        <color rgb="FFFDE68A"/>
      </left>
      <right/>
      <top style="thin">
        <color rgb="FFFDE68A"/>
      </top>
      <bottom style="thin">
        <color rgb="FFFDE68A"/>
      </bottom>
      <diagonal/>
    </border>
    <border>
      <left/>
      <right/>
      <top style="thin">
        <color rgb="FFFDE68A"/>
      </top>
      <bottom style="thin">
        <color rgb="FFFDE68A"/>
      </bottom>
      <diagonal/>
    </border>
    <border>
      <left/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4" fillId="5" borderId="3" xfId="0" applyFont="1" applyFill="1" applyBorder="1" applyAlignment="1">
      <alignment vertical="center"/>
    </xf>
    <xf numFmtId="164" fontId="8" fillId="5" borderId="3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/>
    </xf>
    <xf numFmtId="164" fontId="4" fillId="6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2" xfId="0" applyNumberFormat="1" applyFont="1" applyBorder="1" applyAlignment="1">
      <alignment vertical="center"/>
    </xf>
    <xf numFmtId="167" fontId="1" fillId="0" borderId="3" xfId="0" applyNumberFormat="1" applyFont="1" applyBorder="1" applyAlignment="1">
      <alignment vertical="center"/>
    </xf>
    <xf numFmtId="167" fontId="1" fillId="0" borderId="4" xfId="0" applyNumberFormat="1" applyFont="1" applyBorder="1" applyAlignment="1">
      <alignment vertical="center"/>
    </xf>
    <xf numFmtId="168" fontId="1" fillId="0" borderId="2" xfId="0" applyNumberFormat="1" applyFont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168" fontId="1" fillId="0" borderId="4" xfId="0" applyNumberFormat="1" applyFont="1" applyBorder="1" applyAlignment="1">
      <alignment vertical="center"/>
    </xf>
    <xf numFmtId="0" fontId="4" fillId="4" borderId="28" xfId="0" applyFont="1" applyFill="1" applyBorder="1" applyAlignment="1">
      <alignment vertical="center" wrapText="1"/>
    </xf>
    <xf numFmtId="0" fontId="13" fillId="8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vertical="center" wrapText="1"/>
    </xf>
    <xf numFmtId="0" fontId="13" fillId="8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14" fillId="9" borderId="34" xfId="0" applyFont="1" applyFill="1" applyBorder="1" applyAlignment="1">
      <alignment vertical="center" wrapText="1"/>
    </xf>
    <xf numFmtId="0" fontId="14" fillId="9" borderId="35" xfId="0" applyFont="1" applyFill="1" applyBorder="1" applyAlignment="1">
      <alignment vertical="center" wrapText="1"/>
    </xf>
    <xf numFmtId="0" fontId="14" fillId="9" borderId="36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10" borderId="26" xfId="0" applyFont="1" applyFill="1" applyBorder="1" applyAlignment="1">
      <alignment horizontal="center" vertical="center"/>
    </xf>
    <xf numFmtId="164" fontId="16" fillId="10" borderId="25" xfId="0" applyNumberFormat="1" applyFont="1" applyFill="1" applyBorder="1" applyAlignment="1">
      <alignment horizontal="center" vertical="center"/>
    </xf>
    <xf numFmtId="164" fontId="16" fillId="10" borderId="0" xfId="0" applyNumberFormat="1" applyFont="1" applyFill="1" applyAlignment="1">
      <alignment horizontal="center" vertical="center"/>
    </xf>
    <xf numFmtId="164" fontId="16" fillId="10" borderId="26" xfId="0" applyNumberFormat="1" applyFont="1" applyFill="1" applyBorder="1" applyAlignment="1">
      <alignment horizontal="center" vertical="center"/>
    </xf>
    <xf numFmtId="164" fontId="16" fillId="10" borderId="27" xfId="0" applyNumberFormat="1" applyFont="1" applyFill="1" applyBorder="1" applyAlignment="1">
      <alignment horizontal="center" vertical="center"/>
    </xf>
    <xf numFmtId="164" fontId="16" fillId="10" borderId="28" xfId="0" applyNumberFormat="1" applyFont="1" applyFill="1" applyBorder="1" applyAlignment="1">
      <alignment horizontal="center" vertical="center"/>
    </xf>
    <xf numFmtId="164" fontId="16" fillId="10" borderId="29" xfId="0" applyNumberFormat="1" applyFont="1" applyFill="1" applyBorder="1" applyAlignment="1">
      <alignment horizontal="center" vertical="center"/>
    </xf>
    <xf numFmtId="165" fontId="17" fillId="10" borderId="25" xfId="0" applyNumberFormat="1" applyFont="1" applyFill="1" applyBorder="1" applyAlignment="1">
      <alignment horizontal="center" vertical="center"/>
    </xf>
    <xf numFmtId="165" fontId="17" fillId="10" borderId="0" xfId="0" applyNumberFormat="1" applyFont="1" applyFill="1" applyAlignment="1">
      <alignment horizontal="center" vertical="center"/>
    </xf>
    <xf numFmtId="165" fontId="17" fillId="10" borderId="26" xfId="0" applyNumberFormat="1" applyFont="1" applyFill="1" applyBorder="1" applyAlignment="1">
      <alignment horizontal="center" vertical="center"/>
    </xf>
    <xf numFmtId="165" fontId="17" fillId="10" borderId="27" xfId="0" applyNumberFormat="1" applyFont="1" applyFill="1" applyBorder="1" applyAlignment="1">
      <alignment horizontal="center" vertical="center"/>
    </xf>
    <xf numFmtId="165" fontId="17" fillId="10" borderId="28" xfId="0" applyNumberFormat="1" applyFont="1" applyFill="1" applyBorder="1" applyAlignment="1">
      <alignment horizontal="center" vertical="center"/>
    </xf>
    <xf numFmtId="165" fontId="17" fillId="10" borderId="29" xfId="0" applyNumberFormat="1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vertical="center" wrapText="1"/>
    </xf>
    <xf numFmtId="0" fontId="18" fillId="6" borderId="23" xfId="0" applyFont="1" applyFill="1" applyBorder="1" applyAlignment="1">
      <alignment vertical="center" wrapText="1"/>
    </xf>
    <xf numFmtId="0" fontId="18" fillId="6" borderId="24" xfId="0" applyFont="1" applyFill="1" applyBorder="1" applyAlignment="1">
      <alignment vertical="center" wrapText="1"/>
    </xf>
    <xf numFmtId="0" fontId="18" fillId="6" borderId="25" xfId="0" applyFont="1" applyFill="1" applyBorder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8" fillId="6" borderId="26" xfId="0" applyFont="1" applyFill="1" applyBorder="1" applyAlignment="1">
      <alignment vertical="center" wrapText="1"/>
    </xf>
    <xf numFmtId="0" fontId="18" fillId="6" borderId="27" xfId="0" applyFont="1" applyFill="1" applyBorder="1" applyAlignment="1">
      <alignment vertical="center" wrapText="1"/>
    </xf>
    <xf numFmtId="0" fontId="18" fillId="6" borderId="28" xfId="0" applyFont="1" applyFill="1" applyBorder="1" applyAlignment="1">
      <alignment vertical="center" wrapText="1"/>
    </xf>
    <xf numFmtId="0" fontId="18" fillId="6" borderId="29" xfId="0" applyFont="1" applyFill="1" applyBorder="1" applyAlignment="1">
      <alignment vertical="center" wrapText="1"/>
    </xf>
    <xf numFmtId="0" fontId="6" fillId="11" borderId="0" xfId="0" applyFont="1" applyFill="1" applyAlignment="1">
      <alignment vertical="center"/>
    </xf>
    <xf numFmtId="0" fontId="19" fillId="7" borderId="6" xfId="0" applyFont="1" applyFill="1" applyBorder="1" applyAlignment="1">
      <alignment vertical="center" wrapText="1"/>
    </xf>
    <xf numFmtId="0" fontId="19" fillId="7" borderId="7" xfId="0" applyFont="1" applyFill="1" applyBorder="1" applyAlignment="1">
      <alignment vertical="center" wrapText="1"/>
    </xf>
    <xf numFmtId="0" fontId="19" fillId="7" borderId="8" xfId="0" applyFont="1" applyFill="1" applyBorder="1" applyAlignment="1">
      <alignment vertical="center" wrapText="1"/>
    </xf>
    <xf numFmtId="0" fontId="19" fillId="7" borderId="9" xfId="0" applyFont="1" applyFill="1" applyBorder="1" applyAlignment="1">
      <alignment vertical="center" wrapText="1"/>
    </xf>
    <xf numFmtId="0" fontId="19" fillId="7" borderId="0" xfId="0" applyFont="1" applyFill="1" applyAlignment="1">
      <alignment vertical="center" wrapText="1"/>
    </xf>
    <xf numFmtId="0" fontId="19" fillId="7" borderId="10" xfId="0" applyFont="1" applyFill="1" applyBorder="1" applyAlignment="1">
      <alignment vertical="center" wrapText="1"/>
    </xf>
    <xf numFmtId="0" fontId="19" fillId="7" borderId="11" xfId="0" applyFont="1" applyFill="1" applyBorder="1" applyAlignment="1">
      <alignment vertical="center" wrapText="1"/>
    </xf>
    <xf numFmtId="0" fontId="19" fillId="7" borderId="12" xfId="0" applyFont="1" applyFill="1" applyBorder="1" applyAlignment="1">
      <alignment vertical="center" wrapText="1"/>
    </xf>
    <xf numFmtId="0" fontId="19" fillId="7" borderId="1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/>
    </xf>
    <xf numFmtId="164" fontId="6" fillId="3" borderId="3" xfId="0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9" fillId="7" borderId="10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9" fillId="7" borderId="12" xfId="0" applyFont="1" applyFill="1" applyBorder="1" applyAlignment="1">
      <alignment vertical="center" wrapText="1"/>
    </xf>
    <xf numFmtId="0" fontId="9" fillId="7" borderId="13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10" fillId="8" borderId="15" xfId="0" applyFont="1" applyFill="1" applyBorder="1" applyAlignment="1">
      <alignment vertical="center" wrapText="1"/>
    </xf>
    <xf numFmtId="0" fontId="10" fillId="8" borderId="16" xfId="0" applyFont="1" applyFill="1" applyBorder="1" applyAlignment="1">
      <alignment vertical="center" wrapText="1"/>
    </xf>
    <xf numFmtId="0" fontId="10" fillId="8" borderId="17" xfId="0" applyFont="1" applyFill="1" applyBorder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10" fillId="8" borderId="18" xfId="0" applyFont="1" applyFill="1" applyBorder="1" applyAlignment="1">
      <alignment vertical="center" wrapText="1"/>
    </xf>
    <xf numFmtId="0" fontId="10" fillId="8" borderId="19" xfId="0" applyFont="1" applyFill="1" applyBorder="1" applyAlignment="1">
      <alignment vertical="center" wrapText="1"/>
    </xf>
    <xf numFmtId="0" fontId="10" fillId="8" borderId="20" xfId="0" applyFont="1" applyFill="1" applyBorder="1" applyAlignment="1">
      <alignment vertical="center" wrapText="1"/>
    </xf>
    <xf numFmtId="0" fontId="10" fillId="8" borderId="2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vertical="center" wrapText="1"/>
    </xf>
    <xf numFmtId="0" fontId="12" fillId="6" borderId="23" xfId="0" applyFont="1" applyFill="1" applyBorder="1" applyAlignment="1">
      <alignment vertical="center" wrapText="1"/>
    </xf>
    <xf numFmtId="0" fontId="12" fillId="6" borderId="24" xfId="0" applyFont="1" applyFill="1" applyBorder="1" applyAlignment="1">
      <alignment vertical="center" wrapText="1"/>
    </xf>
    <xf numFmtId="0" fontId="12" fillId="6" borderId="25" xfId="0" applyFont="1" applyFill="1" applyBorder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6" borderId="26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2" fillId="6" borderId="28" xfId="0" applyFont="1" applyFill="1" applyBorder="1" applyAlignment="1">
      <alignment vertical="center" wrapText="1"/>
    </xf>
    <xf numFmtId="0" fontId="12" fillId="6" borderId="29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065F46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uk-UA"/>
              <a:t>Грошовий потік, прибуток і </a:t>
            </a:r>
            <a:r>
              <a:rPr lang="en-GB"/>
              <a:t>SBC ($ </a:t>
            </a:r>
            <a:r>
              <a:rPr lang="uk-UA"/>
              <a:t>млн)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Operating cash flow</c:v>
          </c:tx>
          <c:marker>
            <c:symbol val="none"/>
          </c:marker>
          <c:cat>
            <c:numRef>
              <c:f>Огляд!$I$33:$I$37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Огляд!$J$33:$J$37</c:f>
              <c:numCache>
                <c:formatCode>\$#\ ##0.0;[Red]\(\$#\ ##0.0\);\-</c:formatCode>
                <c:ptCount val="5"/>
                <c:pt idx="0">
                  <c:v>286.54500000000002</c:v>
                </c:pt>
                <c:pt idx="1">
                  <c:v>418.40699999999998</c:v>
                </c:pt>
                <c:pt idx="2">
                  <c:v>659.95399999999995</c:v>
                </c:pt>
                <c:pt idx="3">
                  <c:v>870.60299999999995</c:v>
                </c:pt>
                <c:pt idx="4">
                  <c:v>1050.135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93-A04F-A0B2-1F583411E2FB}"/>
            </c:ext>
          </c:extLst>
        </c:ser>
        <c:ser>
          <c:idx val="1"/>
          <c:order val="1"/>
          <c:tx>
            <c:v>Datadog FCF</c:v>
          </c:tx>
          <c:marker>
            <c:symbol val="none"/>
          </c:marker>
          <c:cat>
            <c:numRef>
              <c:f>Огляд!$I$33:$I$37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Огляд!$K$33:$K$37</c:f>
              <c:numCache>
                <c:formatCode>\$#\ ##0.0;[Red]\(\$#\ ##0.0\);\-</c:formatCode>
                <c:ptCount val="5"/>
                <c:pt idx="0">
                  <c:v>250.52</c:v>
                </c:pt>
                <c:pt idx="1">
                  <c:v>353.51799999999997</c:v>
                </c:pt>
                <c:pt idx="2">
                  <c:v>597.54799999999989</c:v>
                </c:pt>
                <c:pt idx="3">
                  <c:v>775.10299999999995</c:v>
                </c:pt>
                <c:pt idx="4">
                  <c:v>914.71699999999998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93-A04F-A0B2-1F583411E2FB}"/>
            </c:ext>
          </c:extLst>
        </c:ser>
        <c:ser>
          <c:idx val="2"/>
          <c:order val="2"/>
          <c:tx>
            <c:v>Net income</c:v>
          </c:tx>
          <c:marker>
            <c:symbol val="none"/>
          </c:marker>
          <c:cat>
            <c:numRef>
              <c:f>Огляд!$I$33:$I$37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Огляд!$L$33:$L$37</c:f>
              <c:numCache>
                <c:formatCode>\$#\ ##0.0;[Red]\(\$#\ ##0.0\);\-</c:formatCode>
                <c:ptCount val="5"/>
                <c:pt idx="0">
                  <c:v>-20.745000000000001</c:v>
                </c:pt>
                <c:pt idx="1">
                  <c:v>-50.16</c:v>
                </c:pt>
                <c:pt idx="2">
                  <c:v>48.567999999999998</c:v>
                </c:pt>
                <c:pt idx="3">
                  <c:v>183.74600000000001</c:v>
                </c:pt>
                <c:pt idx="4">
                  <c:v>107.741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493-A04F-A0B2-1F583411E2FB}"/>
            </c:ext>
          </c:extLst>
        </c:ser>
        <c:ser>
          <c:idx val="3"/>
          <c:order val="3"/>
          <c:tx>
            <c:v>SBC</c:v>
          </c:tx>
          <c:marker>
            <c:symbol val="none"/>
          </c:marker>
          <c:cat>
            <c:numRef>
              <c:f>Огляд!$I$33:$I$37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Огляд!$M$33:$M$37</c:f>
              <c:numCache>
                <c:formatCode>\$#\ ##0.0;[Red]\(\$#\ ##0.0\);\-</c:formatCode>
                <c:ptCount val="5"/>
                <c:pt idx="0">
                  <c:v>163.73699999999999</c:v>
                </c:pt>
                <c:pt idx="1">
                  <c:v>363.154</c:v>
                </c:pt>
                <c:pt idx="2">
                  <c:v>482.3</c:v>
                </c:pt>
                <c:pt idx="3">
                  <c:v>570.33600000000001</c:v>
                </c:pt>
                <c:pt idx="4">
                  <c:v>750.67100000000005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493-A04F-A0B2-1F583411E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\ ##0.0;[Red]\(\$#\ ##0.0\)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OCF, FCF </a:t>
            </a:r>
            <a:r>
              <a:rPr lang="uk-UA"/>
              <a:t>та чистий прибуток ($ млн)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Operating cash flow</c:v>
          </c:tx>
          <c:marker>
            <c:symbol val="none"/>
          </c:marker>
          <c:cat>
            <c:numRef>
              <c:f>FCF!$H$6:$H$10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FCF!$I$6:$I$10</c:f>
              <c:numCache>
                <c:formatCode>\$#\ ##0.0;[Red]\(\$#\ ##0.0\);\-</c:formatCode>
                <c:ptCount val="5"/>
                <c:pt idx="0">
                  <c:v>286.54500000000002</c:v>
                </c:pt>
                <c:pt idx="1">
                  <c:v>418.40699999999998</c:v>
                </c:pt>
                <c:pt idx="2">
                  <c:v>659.95399999999995</c:v>
                </c:pt>
                <c:pt idx="3">
                  <c:v>870.60299999999995</c:v>
                </c:pt>
                <c:pt idx="4">
                  <c:v>1050.135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47-5A40-95C8-5C80D2969E99}"/>
            </c:ext>
          </c:extLst>
        </c:ser>
        <c:ser>
          <c:idx val="1"/>
          <c:order val="1"/>
          <c:tx>
            <c:v>Datadog FCF</c:v>
          </c:tx>
          <c:marker>
            <c:symbol val="none"/>
          </c:marker>
          <c:cat>
            <c:numRef>
              <c:f>FCF!$H$6:$H$10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FCF!$J$6:$J$10</c:f>
              <c:numCache>
                <c:formatCode>\$#\ ##0.0;[Red]\(\$#\ ##0.0\);\-</c:formatCode>
                <c:ptCount val="5"/>
                <c:pt idx="0">
                  <c:v>250.52</c:v>
                </c:pt>
                <c:pt idx="1">
                  <c:v>353.51799999999997</c:v>
                </c:pt>
                <c:pt idx="2">
                  <c:v>597.54799999999989</c:v>
                </c:pt>
                <c:pt idx="3">
                  <c:v>775.10299999999995</c:v>
                </c:pt>
                <c:pt idx="4">
                  <c:v>914.71699999999998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47-5A40-95C8-5C80D2969E99}"/>
            </c:ext>
          </c:extLst>
        </c:ser>
        <c:ser>
          <c:idx val="2"/>
          <c:order val="2"/>
          <c:tx>
            <c:v>Net income</c:v>
          </c:tx>
          <c:marker>
            <c:symbol val="none"/>
          </c:marker>
          <c:cat>
            <c:numRef>
              <c:f>FCF!$H$6:$H$10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FCF!$K$6:$K$10</c:f>
              <c:numCache>
                <c:formatCode>\$#\ ##0.0;[Red]\(\$#\ ##0.0\);\-</c:formatCode>
                <c:ptCount val="5"/>
                <c:pt idx="0">
                  <c:v>-20.745000000000001</c:v>
                </c:pt>
                <c:pt idx="1">
                  <c:v>-50.16</c:v>
                </c:pt>
                <c:pt idx="2">
                  <c:v>48.567999999999998</c:v>
                </c:pt>
                <c:pt idx="3">
                  <c:v>183.74600000000001</c:v>
                </c:pt>
                <c:pt idx="4">
                  <c:v>107.741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B47-5A40-95C8-5C80D2969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\ ##0.0;[Red]\(\$#\ ##0.0\)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OCF vs Net Income vs SBC ($ </a:t>
            </a:r>
            <a:r>
              <a:rPr lang="uk-UA"/>
              <a:t>млн)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Operating cash flow</c:v>
          </c:tx>
          <c:marker>
            <c:symbol val="none"/>
          </c:marker>
          <c:cat>
            <c:numRef>
              <c:f>'OCF vs NI'!$H$6:$H$10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'OCF vs NI'!$I$6:$I$10</c:f>
              <c:numCache>
                <c:formatCode>\$#\ ##0.0;[Red]\(\$#\ ##0.0\);\-</c:formatCode>
                <c:ptCount val="5"/>
                <c:pt idx="0">
                  <c:v>286.54500000000002</c:v>
                </c:pt>
                <c:pt idx="1">
                  <c:v>418.40699999999998</c:v>
                </c:pt>
                <c:pt idx="2">
                  <c:v>659.95399999999995</c:v>
                </c:pt>
                <c:pt idx="3">
                  <c:v>870.60299999999995</c:v>
                </c:pt>
                <c:pt idx="4">
                  <c:v>1050.135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CF-574D-802A-EF0244BBBFE7}"/>
            </c:ext>
          </c:extLst>
        </c:ser>
        <c:ser>
          <c:idx val="1"/>
          <c:order val="1"/>
          <c:tx>
            <c:v>Net income</c:v>
          </c:tx>
          <c:marker>
            <c:symbol val="none"/>
          </c:marker>
          <c:cat>
            <c:numRef>
              <c:f>'OCF vs NI'!$H$6:$H$10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'OCF vs NI'!$J$6:$J$10</c:f>
              <c:numCache>
                <c:formatCode>\$#\ ##0.0;[Red]\(\$#\ ##0.0\);\-</c:formatCode>
                <c:ptCount val="5"/>
                <c:pt idx="0">
                  <c:v>-20.745000000000001</c:v>
                </c:pt>
                <c:pt idx="1">
                  <c:v>-50.16</c:v>
                </c:pt>
                <c:pt idx="2">
                  <c:v>48.567999999999998</c:v>
                </c:pt>
                <c:pt idx="3">
                  <c:v>183.74600000000001</c:v>
                </c:pt>
                <c:pt idx="4">
                  <c:v>107.741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CF-574D-802A-EF0244BBBFE7}"/>
            </c:ext>
          </c:extLst>
        </c:ser>
        <c:ser>
          <c:idx val="2"/>
          <c:order val="2"/>
          <c:tx>
            <c:v>SBC</c:v>
          </c:tx>
          <c:marker>
            <c:symbol val="none"/>
          </c:marker>
          <c:cat>
            <c:numRef>
              <c:f>'OCF vs NI'!$H$6:$H$10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'OCF vs NI'!$K$6:$K$10</c:f>
              <c:numCache>
                <c:formatCode>\$#\ ##0.0;[Red]\(\$#\ ##0.0\);\-</c:formatCode>
                <c:ptCount val="5"/>
                <c:pt idx="0">
                  <c:v>163.73699999999999</c:v>
                </c:pt>
                <c:pt idx="1">
                  <c:v>363.154</c:v>
                </c:pt>
                <c:pt idx="2">
                  <c:v>482.3</c:v>
                </c:pt>
                <c:pt idx="3">
                  <c:v>570.33600000000001</c:v>
                </c:pt>
                <c:pt idx="4">
                  <c:v>750.67100000000005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CF-574D-802A-EF0244BB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\ ##0.0;[Red]\(\$#\ ##0.0\)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A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2489200</xdr:colOff>
      <xdr:row>54</xdr:row>
      <xdr:rowOff>0</xdr:rowOff>
    </xdr:to>
    <xdr:sp macro="" textlink="">
      <xdr:nvSpPr>
        <xdr:cNvPr id="4109" name="Text Box 13" hidden="1">
          <a:extLst>
            <a:ext uri="{FF2B5EF4-FFF2-40B4-BE49-F238E27FC236}">
              <a16:creationId xmlns:a16="http://schemas.microsoft.com/office/drawing/2014/main" id="{9620578A-3416-766C-D1B7-E66E4E5FFA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ras Vynnychuk" id="{7A2FCC86-CEFF-47F6-9297-22C69A10E7BE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7-29T17:26:16.72" personId="{7A2FCC86-CEFF-47F6-9297-22C69A10E7BE}" id="{211520F2-FF61-0685-8A17-FE1E4BF7D2DD}">
    <text>Source: SRC-002 for FY2021–FY2023 and SRC-001 for FY2024–FY2025. Metric: Revenue. Full URLs and filing locations are on the "Джерела" sheet.</text>
  </threadedComment>
  <threadedComment ref="A7" dT="2026-07-29T17:26:16.72" personId="{7A2FCC86-CEFF-47F6-9297-22C69A10E7BE}" id="{6A84BEA1-916F-B092-0476-7209E029274F}">
    <text>Source: SRC-002 for FY2021–FY2023 and SRC-001 for FY2024–FY2025. Metric: Net income (loss). Full URLs and filing locations are on the "Джерела" sheet.</text>
  </threadedComment>
  <threadedComment ref="A8" dT="2026-07-29T17:26:16.72" personId="{7A2FCC86-CEFF-47F6-9297-22C69A10E7BE}" id="{8B31F8C9-A5DB-419C-FD24-D4DAB5432A34}">
    <text>Source: SRC-002 for FY2021–FY2023 and SRC-001 for FY2024–FY2025. Metric: Depreciation &amp; amortization. Full URLs and filing locations are on the "Джерела" sheet.</text>
  </threadedComment>
  <threadedComment ref="A9" dT="2026-07-29T17:26:16.72" personId="{7A2FCC86-CEFF-47F6-9297-22C69A10E7BE}" id="{63A0B8EB-06A8-223E-856B-41A7776C9E4A}">
    <text>Source: SRC-002 for FY2021–FY2023 and SRC-001 for FY2024–FY2025. Metric: Stock-based compensation, net of amounts capitalized. Full URLs and filing locations are on the "Джерела" sheet.</text>
  </threadedComment>
  <threadedComment ref="A10" dT="2026-07-29T17:26:16.73" personId="{7A2FCC86-CEFF-47F6-9297-22C69A10E7BE}" id="{9F2CE2A7-202E-8FF1-65A8-9FF168FFAFCF}">
    <text>Source: SRC-002 for FY2021–FY2023 and SRC-001 for FY2024–FY2025. Metric: Net cash provided by operating activities. Full URLs and filing locations are on the "Джерела" sheet.</text>
  </threadedComment>
  <threadedComment ref="A11" dT="2026-07-29T17:26:16.73" personId="{7A2FCC86-CEFF-47F6-9297-22C69A10E7BE}" id="{5FCA2285-23EB-3F71-D374-D49A6AD70CE6}">
    <text>Source: SRC-002 for FY2021–FY2023 and SRC-001 for FY2024–FY2025. Metric: Net cash used in investing activities. Full URLs and filing locations are on the "Джерела" sheet.</text>
  </threadedComment>
  <threadedComment ref="A12" dT="2026-07-29T17:26:16.73" personId="{7A2FCC86-CEFF-47F6-9297-22C69A10E7BE}" id="{24EEBF2F-1A1E-7562-B9CF-0132C2DEBBBF}">
    <text>Source: SRC-002 for FY2021–FY2023 and SRC-001 for FY2024–FY2025. Metric: Net cash provided by / (used in) financing activities. Full URLs and filing locations are on the "Джерела" sheet.</text>
  </threadedComment>
  <threadedComment ref="A13" dT="2026-07-29T17:26:16.73" personId="{7A2FCC86-CEFF-47F6-9297-22C69A10E7BE}" id="{77E69F96-9748-4555-DFA5-31E79C0B0918}">
    <text>Source: SRC-002 for FY2021–FY2023 and SRC-001 for FY2024–FY2025. Metric: Purchases of property &amp; equipment. Full URLs and filing locations are on the "Джерела" sheet.</text>
  </threadedComment>
  <threadedComment ref="A14" dT="2026-07-29T17:26:16.73" personId="{7A2FCC86-CEFF-47F6-9297-22C69A10E7BE}" id="{883FF0B2-4289-BE32-9E52-01E0D229704C}">
    <text>Source: SRC-002 for FY2021–FY2023 and SRC-001 for FY2024–FY2025. Metric: Capitalized software development costs. Full URLs and filing locations are on the "Джерела" sheet.</text>
  </threadedComment>
  <threadedComment ref="A15" dT="2026-07-29T17:26:16.73" personId="{7A2FCC86-CEFF-47F6-9297-22C69A10E7BE}" id="{24426835-C8D9-49B7-99D1-722540601F9B}">
    <text>Source: SRC-002 for FY2021–FY2023 and SRC-001 for FY2024–FY2025. Metric: Net increase / (decrease) in cash incl. FX. Full URLs and filing locations are on the "Джерела" sheet.</text>
  </threadedComment>
  <threadedComment ref="A16" dT="2026-07-29T17:26:16.73" personId="{7A2FCC86-CEFF-47F6-9297-22C69A10E7BE}" id="{C11A6199-2F9C-5649-823A-87B8D7C0D05B}">
    <text>Source: SRC-002 for FY2021–FY2023 and SRC-001 for FY2024–FY2025. Metric: Cash &amp; cash equivalents — end of period. Full URLs and filing locations are on the "Джерела" sheet.</text>
  </threadedComment>
  <threadedComment ref="A17" dT="2026-07-29T17:26:16.73" personId="{7A2FCC86-CEFF-47F6-9297-22C69A10E7BE}" id="{60BB6404-6028-2B50-2E4C-802A16EEA4B6}">
    <text>Source: SRC-002 for FY2021–FY2023 and SRC-001 for FY2024–FY2025. Metric: Company-reported non-GAAP free cash flow. Full URLs and filing locations are on the "Джерела" sheet.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showGridLines="0" topLeftCell="A12" workbookViewId="0">
      <selection activeCell="H34" sqref="H34"/>
    </sheetView>
  </sheetViews>
  <sheetFormatPr baseColWidth="10" defaultColWidth="8.83203125" defaultRowHeight="15"/>
  <cols>
    <col min="1" max="1" width="16" customWidth="1"/>
    <col min="2" max="2" width="65" customWidth="1"/>
    <col min="3" max="3" width="3" customWidth="1"/>
    <col min="4" max="15" width="11" customWidth="1"/>
  </cols>
  <sheetData>
    <row r="1" spans="1:15" ht="34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34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3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3" customHeight="1">
      <c r="A5" s="53" t="s">
        <v>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>
      <c r="A6" s="44" t="s">
        <v>3</v>
      </c>
      <c r="B6" s="44" t="s">
        <v>4</v>
      </c>
      <c r="C6" s="1"/>
      <c r="D6" s="54" t="s">
        <v>5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</row>
    <row r="7" spans="1:15" ht="34" customHeight="1">
      <c r="A7" s="45" t="s">
        <v>6</v>
      </c>
      <c r="B7" s="46" t="s">
        <v>7</v>
      </c>
      <c r="C7" s="1"/>
      <c r="D7" s="55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ht="34" customHeight="1">
      <c r="A8" s="45" t="s">
        <v>6</v>
      </c>
      <c r="B8" s="46" t="s">
        <v>8</v>
      </c>
      <c r="C8" s="1"/>
      <c r="D8" s="55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ht="34" customHeight="1">
      <c r="A9" s="47" t="s">
        <v>6</v>
      </c>
      <c r="B9" s="48" t="s">
        <v>9</v>
      </c>
      <c r="C9" s="1"/>
      <c r="D9" s="55"/>
      <c r="E9" s="56"/>
      <c r="F9" s="56"/>
      <c r="G9" s="56"/>
      <c r="H9" s="56"/>
      <c r="I9" s="56"/>
      <c r="J9" s="56"/>
      <c r="K9" s="56"/>
      <c r="L9" s="56"/>
      <c r="M9" s="56"/>
      <c r="N9" s="56"/>
      <c r="O9" s="57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53" t="s">
        <v>10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</row>
    <row r="13" spans="1:15">
      <c r="A13" s="58" t="s">
        <v>11</v>
      </c>
      <c r="B13" s="59"/>
      <c r="C13" s="60"/>
      <c r="D13" s="49"/>
      <c r="E13" s="58" t="s">
        <v>12</v>
      </c>
      <c r="F13" s="59"/>
      <c r="G13" s="60"/>
      <c r="H13" s="49"/>
      <c r="I13" s="58" t="s">
        <v>13</v>
      </c>
      <c r="J13" s="59"/>
      <c r="K13" s="60"/>
      <c r="L13" s="49"/>
      <c r="M13" s="58" t="s">
        <v>14</v>
      </c>
      <c r="N13" s="59"/>
      <c r="O13" s="60"/>
    </row>
    <row r="14" spans="1:15">
      <c r="A14" s="61"/>
      <c r="B14" s="62"/>
      <c r="C14" s="63"/>
      <c r="D14" s="49"/>
      <c r="E14" s="61"/>
      <c r="F14" s="62"/>
      <c r="G14" s="63"/>
      <c r="H14" s="49"/>
      <c r="I14" s="61"/>
      <c r="J14" s="62"/>
      <c r="K14" s="63"/>
      <c r="L14" s="49"/>
      <c r="M14" s="61"/>
      <c r="N14" s="62"/>
      <c r="O14" s="63"/>
    </row>
    <row r="15" spans="1:15">
      <c r="A15" s="61"/>
      <c r="B15" s="62"/>
      <c r="C15" s="63"/>
      <c r="D15" s="49"/>
      <c r="E15" s="61"/>
      <c r="F15" s="62"/>
      <c r="G15" s="63"/>
      <c r="H15" s="49"/>
      <c r="I15" s="61"/>
      <c r="J15" s="62"/>
      <c r="K15" s="63"/>
      <c r="L15" s="49"/>
      <c r="M15" s="61"/>
      <c r="N15" s="62"/>
      <c r="O15" s="63"/>
    </row>
    <row r="16" spans="1:15" ht="25">
      <c r="A16" s="64">
        <f>Дані!H10</f>
        <v>1050.135</v>
      </c>
      <c r="B16" s="65"/>
      <c r="C16" s="66"/>
      <c r="D16" s="50"/>
      <c r="E16" s="64">
        <f>FCF!F11</f>
        <v>914.71699999999998</v>
      </c>
      <c r="F16" s="65"/>
      <c r="G16" s="66"/>
      <c r="H16" s="50"/>
      <c r="I16" s="64">
        <f>'OCF vs NI'!F8</f>
        <v>942.39400000000001</v>
      </c>
      <c r="J16" s="65"/>
      <c r="K16" s="66"/>
      <c r="L16" s="1"/>
      <c r="M16" s="70">
        <f>FCF!B17</f>
        <v>0.38232794216656907</v>
      </c>
      <c r="N16" s="71"/>
      <c r="O16" s="72"/>
    </row>
    <row r="17" spans="1:15" ht="25">
      <c r="A17" s="67"/>
      <c r="B17" s="68"/>
      <c r="C17" s="69"/>
      <c r="D17" s="50"/>
      <c r="E17" s="67"/>
      <c r="F17" s="68"/>
      <c r="G17" s="69"/>
      <c r="H17" s="50"/>
      <c r="I17" s="67"/>
      <c r="J17" s="68"/>
      <c r="K17" s="69"/>
      <c r="L17" s="1"/>
      <c r="M17" s="73"/>
      <c r="N17" s="74"/>
      <c r="O17" s="75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53" t="s">
        <v>15</v>
      </c>
      <c r="B20" s="53"/>
      <c r="C20" s="53"/>
      <c r="D20" s="53"/>
      <c r="E20" s="53"/>
      <c r="F20" s="53"/>
      <c r="G20" s="53"/>
      <c r="H20" s="1"/>
      <c r="I20" s="85" t="s">
        <v>16</v>
      </c>
      <c r="J20" s="85"/>
      <c r="K20" s="85"/>
      <c r="L20" s="85"/>
      <c r="M20" s="85"/>
      <c r="N20" s="85"/>
      <c r="O20" s="85"/>
    </row>
    <row r="21" spans="1:15">
      <c r="A21" s="76" t="s">
        <v>17</v>
      </c>
      <c r="B21" s="77"/>
      <c r="C21" s="77"/>
      <c r="D21" s="77"/>
      <c r="E21" s="77"/>
      <c r="F21" s="77"/>
      <c r="G21" s="78"/>
      <c r="H21" s="1"/>
      <c r="I21" s="86" t="s">
        <v>18</v>
      </c>
      <c r="J21" s="87"/>
      <c r="K21" s="87"/>
      <c r="L21" s="87"/>
      <c r="M21" s="87"/>
      <c r="N21" s="87"/>
      <c r="O21" s="88"/>
    </row>
    <row r="22" spans="1:15">
      <c r="A22" s="79"/>
      <c r="B22" s="80"/>
      <c r="C22" s="80"/>
      <c r="D22" s="80"/>
      <c r="E22" s="80"/>
      <c r="F22" s="80"/>
      <c r="G22" s="81"/>
      <c r="H22" s="1"/>
      <c r="I22" s="89"/>
      <c r="J22" s="90"/>
      <c r="K22" s="90"/>
      <c r="L22" s="90"/>
      <c r="M22" s="90"/>
      <c r="N22" s="90"/>
      <c r="O22" s="91"/>
    </row>
    <row r="23" spans="1:15">
      <c r="A23" s="79"/>
      <c r="B23" s="80"/>
      <c r="C23" s="80"/>
      <c r="D23" s="80"/>
      <c r="E23" s="80"/>
      <c r="F23" s="80"/>
      <c r="G23" s="81"/>
      <c r="H23" s="1"/>
      <c r="I23" s="89"/>
      <c r="J23" s="90"/>
      <c r="K23" s="90"/>
      <c r="L23" s="90"/>
      <c r="M23" s="90"/>
      <c r="N23" s="90"/>
      <c r="O23" s="91"/>
    </row>
    <row r="24" spans="1:15">
      <c r="A24" s="79"/>
      <c r="B24" s="80"/>
      <c r="C24" s="80"/>
      <c r="D24" s="80"/>
      <c r="E24" s="80"/>
      <c r="F24" s="80"/>
      <c r="G24" s="81"/>
      <c r="H24" s="1"/>
      <c r="I24" s="89"/>
      <c r="J24" s="90"/>
      <c r="K24" s="90"/>
      <c r="L24" s="90"/>
      <c r="M24" s="90"/>
      <c r="N24" s="90"/>
      <c r="O24" s="91"/>
    </row>
    <row r="25" spans="1:15">
      <c r="A25" s="79"/>
      <c r="B25" s="80"/>
      <c r="C25" s="80"/>
      <c r="D25" s="80"/>
      <c r="E25" s="80"/>
      <c r="F25" s="80"/>
      <c r="G25" s="81"/>
      <c r="H25" s="1"/>
      <c r="I25" s="89"/>
      <c r="J25" s="90"/>
      <c r="K25" s="90"/>
      <c r="L25" s="90"/>
      <c r="M25" s="90"/>
      <c r="N25" s="90"/>
      <c r="O25" s="91"/>
    </row>
    <row r="26" spans="1:15">
      <c r="A26" s="79"/>
      <c r="B26" s="80"/>
      <c r="C26" s="80"/>
      <c r="D26" s="80"/>
      <c r="E26" s="80"/>
      <c r="F26" s="80"/>
      <c r="G26" s="81"/>
      <c r="H26" s="1"/>
      <c r="I26" s="89"/>
      <c r="J26" s="90"/>
      <c r="K26" s="90"/>
      <c r="L26" s="90"/>
      <c r="M26" s="90"/>
      <c r="N26" s="90"/>
      <c r="O26" s="91"/>
    </row>
    <row r="27" spans="1:15">
      <c r="A27" s="79"/>
      <c r="B27" s="80"/>
      <c r="C27" s="80"/>
      <c r="D27" s="80"/>
      <c r="E27" s="80"/>
      <c r="F27" s="80"/>
      <c r="G27" s="81"/>
      <c r="H27" s="1"/>
      <c r="I27" s="89"/>
      <c r="J27" s="90"/>
      <c r="K27" s="90"/>
      <c r="L27" s="90"/>
      <c r="M27" s="90"/>
      <c r="N27" s="90"/>
      <c r="O27" s="91"/>
    </row>
    <row r="28" spans="1:15">
      <c r="A28" s="79"/>
      <c r="B28" s="80"/>
      <c r="C28" s="80"/>
      <c r="D28" s="80"/>
      <c r="E28" s="80"/>
      <c r="F28" s="80"/>
      <c r="G28" s="81"/>
      <c r="H28" s="1"/>
      <c r="I28" s="89"/>
      <c r="J28" s="90"/>
      <c r="K28" s="90"/>
      <c r="L28" s="90"/>
      <c r="M28" s="90"/>
      <c r="N28" s="90"/>
      <c r="O28" s="91"/>
    </row>
    <row r="29" spans="1:15">
      <c r="A29" s="82"/>
      <c r="B29" s="83"/>
      <c r="C29" s="83"/>
      <c r="D29" s="83"/>
      <c r="E29" s="83"/>
      <c r="F29" s="83"/>
      <c r="G29" s="84"/>
      <c r="H29" s="1"/>
      <c r="I29" s="92"/>
      <c r="J29" s="93"/>
      <c r="K29" s="93"/>
      <c r="L29" s="93"/>
      <c r="M29" s="93"/>
      <c r="N29" s="93"/>
      <c r="O29" s="94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30">
      <c r="A32" s="1"/>
      <c r="B32" s="1"/>
      <c r="C32" s="1"/>
      <c r="D32" s="1"/>
      <c r="E32" s="1"/>
      <c r="F32" s="1"/>
      <c r="G32" s="1"/>
      <c r="H32" s="1"/>
      <c r="I32" s="2" t="s">
        <v>19</v>
      </c>
      <c r="J32" s="2" t="s">
        <v>11</v>
      </c>
      <c r="K32" s="2" t="s">
        <v>20</v>
      </c>
      <c r="L32" s="2" t="s">
        <v>21</v>
      </c>
      <c r="M32" s="2" t="s">
        <v>22</v>
      </c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>
        <v>2021</v>
      </c>
      <c r="J33" s="3">
        <f>'Cash Flow'!B11</f>
        <v>286.54500000000002</v>
      </c>
      <c r="K33" s="3">
        <f>FCF!B11</f>
        <v>250.52</v>
      </c>
      <c r="L33" s="3">
        <f>'OCF vs NI'!B6</f>
        <v>-20.745000000000001</v>
      </c>
      <c r="M33" s="3">
        <f>'OCF vs NI'!B10</f>
        <v>163.73699999999999</v>
      </c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>
        <v>2022</v>
      </c>
      <c r="J34" s="3">
        <f>'Cash Flow'!C11</f>
        <v>418.40699999999998</v>
      </c>
      <c r="K34" s="3">
        <f>FCF!C11</f>
        <v>353.51799999999997</v>
      </c>
      <c r="L34" s="3">
        <f>'OCF vs NI'!C6</f>
        <v>-50.16</v>
      </c>
      <c r="M34" s="3">
        <f>'OCF vs NI'!C10</f>
        <v>363.154</v>
      </c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>
        <v>2023</v>
      </c>
      <c r="J35" s="3">
        <f>'Cash Flow'!D11</f>
        <v>659.95399999999995</v>
      </c>
      <c r="K35" s="3">
        <f>FCF!D11</f>
        <v>597.54799999999989</v>
      </c>
      <c r="L35" s="3">
        <f>'OCF vs NI'!D6</f>
        <v>48.567999999999998</v>
      </c>
      <c r="M35" s="3">
        <f>'OCF vs NI'!D10</f>
        <v>482.3</v>
      </c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>
        <v>2024</v>
      </c>
      <c r="J36" s="3">
        <f>'Cash Flow'!E11</f>
        <v>870.60299999999995</v>
      </c>
      <c r="K36" s="3">
        <f>FCF!E11</f>
        <v>775.10299999999995</v>
      </c>
      <c r="L36" s="3">
        <f>'OCF vs NI'!E6</f>
        <v>183.74600000000001</v>
      </c>
      <c r="M36" s="3">
        <f>'OCF vs NI'!E10</f>
        <v>570.33600000000001</v>
      </c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>
        <v>2025</v>
      </c>
      <c r="J37" s="3">
        <f>'Cash Flow'!F11</f>
        <v>1050.135</v>
      </c>
      <c r="K37" s="3">
        <f>FCF!F11</f>
        <v>914.71699999999998</v>
      </c>
      <c r="L37" s="3">
        <f>'OCF vs NI'!F6</f>
        <v>107.741</v>
      </c>
      <c r="M37" s="3">
        <f>'OCF vs NI'!F10</f>
        <v>750.67100000000005</v>
      </c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2" t="s">
        <v>19</v>
      </c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>
        <v>2021</v>
      </c>
      <c r="J41" s="3">
        <f>'Cash Flow'!B11</f>
        <v>286.54500000000002</v>
      </c>
      <c r="K41" s="3">
        <f>'Cash Flow'!B17</f>
        <v>-273.74</v>
      </c>
      <c r="L41" s="3">
        <f>'Cash Flow'!B20</f>
        <v>34.94</v>
      </c>
      <c r="M41" s="3">
        <f>'Cash Flow'!B23</f>
        <v>-1.9930000000000021</v>
      </c>
      <c r="N41" s="3">
        <f>'Cash Flow'!B24</f>
        <v>45.752000000000002</v>
      </c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>
        <v>2022</v>
      </c>
      <c r="J42" s="3">
        <f>'Cash Flow'!C11</f>
        <v>418.40699999999998</v>
      </c>
      <c r="K42" s="3">
        <f>'Cash Flow'!C17</f>
        <v>-384.67</v>
      </c>
      <c r="L42" s="3">
        <f>'Cash Flow'!C20</f>
        <v>36.023000000000003</v>
      </c>
      <c r="M42" s="3">
        <f>'Cash Flow'!C23</f>
        <v>-1.9349999999999596</v>
      </c>
      <c r="N42" s="3">
        <f>'Cash Flow'!C24</f>
        <v>67.825000000000003</v>
      </c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>
        <v>2023</v>
      </c>
      <c r="J43" s="3">
        <f>'Cash Flow'!D11</f>
        <v>659.95399999999995</v>
      </c>
      <c r="K43" s="3">
        <f>'Cash Flow'!D17</f>
        <v>-731.36500000000001</v>
      </c>
      <c r="L43" s="3">
        <f>'Cash Flow'!D20</f>
        <v>58.279000000000003</v>
      </c>
      <c r="M43" s="3">
        <f>'Cash Flow'!D23</f>
        <v>1.1830000000000549</v>
      </c>
      <c r="N43" s="3">
        <f>'Cash Flow'!D24</f>
        <v>-11.949</v>
      </c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>
        <v>2024</v>
      </c>
      <c r="J44" s="3">
        <f>'Cash Flow'!E11</f>
        <v>870.60299999999995</v>
      </c>
      <c r="K44" s="3">
        <f>'Cash Flow'!E17</f>
        <v>-736.84</v>
      </c>
      <c r="L44" s="3">
        <f>'Cash Flow'!E20</f>
        <v>787.08299999999997</v>
      </c>
      <c r="M44" s="3">
        <f>'Cash Flow'!E23</f>
        <v>-4.2019999999998845</v>
      </c>
      <c r="N44" s="3">
        <f>'Cash Flow'!E24</f>
        <v>916.64400000000001</v>
      </c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>
        <v>2025</v>
      </c>
      <c r="J45" s="3">
        <f>'Cash Flow'!F11</f>
        <v>1050.135</v>
      </c>
      <c r="K45" s="3">
        <f>'Cash Flow'!F17</f>
        <v>-1334.48</v>
      </c>
      <c r="L45" s="3">
        <f>'Cash Flow'!F20</f>
        <v>-572.48299999999995</v>
      </c>
      <c r="M45" s="3">
        <f>'Cash Flow'!F23</f>
        <v>11.149999999999977</v>
      </c>
      <c r="N45" s="3">
        <f>'Cash Flow'!F24</f>
        <v>-845.678</v>
      </c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mergeCells count="20">
    <mergeCell ref="A20:G20"/>
    <mergeCell ref="A21:G29"/>
    <mergeCell ref="I20:O20"/>
    <mergeCell ref="I21:O29"/>
    <mergeCell ref="D8:O8"/>
    <mergeCell ref="D9:O9"/>
    <mergeCell ref="A12:O12"/>
    <mergeCell ref="A13:C15"/>
    <mergeCell ref="A16:C17"/>
    <mergeCell ref="E13:G15"/>
    <mergeCell ref="E16:G17"/>
    <mergeCell ref="I13:K15"/>
    <mergeCell ref="I16:K17"/>
    <mergeCell ref="M13:O15"/>
    <mergeCell ref="M16:O17"/>
    <mergeCell ref="A1:O2"/>
    <mergeCell ref="A3:O3"/>
    <mergeCell ref="A5:O5"/>
    <mergeCell ref="D6:O6"/>
    <mergeCell ref="D7:O7"/>
  </mergeCells>
  <dataValidations count="1">
    <dataValidation type="list" sqref="A7:A9" xr:uid="{00000000-0002-0000-0000-000000000000}">
      <formula1>"Не розпочато,В процесі,Готово"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tabSelected="1" workbookViewId="0">
      <selection activeCell="A11" sqref="A11"/>
    </sheetView>
  </sheetViews>
  <sheetFormatPr baseColWidth="10" defaultColWidth="8.83203125" defaultRowHeight="15"/>
  <cols>
    <col min="1" max="1" width="48" customWidth="1"/>
    <col min="2" max="6" width="13" customWidth="1"/>
    <col min="7" max="7" width="58" customWidth="1"/>
  </cols>
  <sheetData>
    <row r="1" spans="1:7" ht="34" customHeight="1">
      <c r="A1" s="51" t="s">
        <v>28</v>
      </c>
      <c r="B1" s="51"/>
      <c r="C1" s="51"/>
      <c r="D1" s="51"/>
      <c r="E1" s="51"/>
      <c r="F1" s="51"/>
      <c r="G1" s="51"/>
    </row>
    <row r="2" spans="1:7" ht="34" customHeight="1">
      <c r="A2" s="51"/>
      <c r="B2" s="51"/>
      <c r="C2" s="51"/>
      <c r="D2" s="51"/>
      <c r="E2" s="51"/>
      <c r="F2" s="51"/>
      <c r="G2" s="51"/>
    </row>
    <row r="3" spans="1:7" ht="23" customHeight="1">
      <c r="A3" s="52" t="s">
        <v>29</v>
      </c>
      <c r="B3" s="52"/>
      <c r="C3" s="52"/>
      <c r="D3" s="52"/>
      <c r="E3" s="52"/>
      <c r="F3" s="52"/>
      <c r="G3" s="52"/>
    </row>
    <row r="4" spans="1:7">
      <c r="A4" s="1"/>
      <c r="B4" s="1"/>
      <c r="C4" s="1"/>
      <c r="D4" s="1"/>
      <c r="E4" s="1"/>
      <c r="F4" s="1"/>
      <c r="G4" s="1"/>
    </row>
    <row r="5" spans="1:7">
      <c r="A5" s="2" t="s">
        <v>30</v>
      </c>
      <c r="B5" s="22">
        <v>2021</v>
      </c>
      <c r="C5" s="22">
        <v>2022</v>
      </c>
      <c r="D5" s="22">
        <v>2023</v>
      </c>
      <c r="E5" s="22">
        <v>2024</v>
      </c>
      <c r="F5" s="22">
        <v>2025</v>
      </c>
      <c r="G5" s="2" t="s">
        <v>31</v>
      </c>
    </row>
    <row r="6" spans="1:7" ht="23" customHeight="1">
      <c r="A6" s="53" t="s">
        <v>32</v>
      </c>
      <c r="B6" s="53"/>
      <c r="C6" s="53"/>
      <c r="D6" s="53"/>
      <c r="E6" s="53"/>
      <c r="F6" s="53"/>
      <c r="G6" s="53"/>
    </row>
    <row r="7" spans="1:7">
      <c r="A7" s="4" t="s">
        <v>33</v>
      </c>
      <c r="B7" s="25">
        <f>Дані!D7</f>
        <v>-20.745000000000001</v>
      </c>
      <c r="C7" s="25">
        <f>Дані!E7</f>
        <v>-50.16</v>
      </c>
      <c r="D7" s="25">
        <f>Дані!F7</f>
        <v>48.567999999999998</v>
      </c>
      <c r="E7" s="25">
        <f>Дані!G7</f>
        <v>183.74600000000001</v>
      </c>
      <c r="F7" s="25">
        <f>Дані!H7</f>
        <v>107.741</v>
      </c>
      <c r="G7" s="13"/>
    </row>
    <row r="8" spans="1:7">
      <c r="A8" s="6" t="s">
        <v>34</v>
      </c>
      <c r="B8" s="26">
        <f>Дані!D8</f>
        <v>22.937999999999999</v>
      </c>
      <c r="C8" s="26">
        <f>Дані!E8</f>
        <v>34.628999999999998</v>
      </c>
      <c r="D8" s="26">
        <f>Дані!F8</f>
        <v>44.465000000000003</v>
      </c>
      <c r="E8" s="26">
        <f>Дані!G8</f>
        <v>54.933</v>
      </c>
      <c r="F8" s="26">
        <f>Дані!H8</f>
        <v>55.756</v>
      </c>
      <c r="G8" s="14"/>
    </row>
    <row r="9" spans="1:7">
      <c r="A9" s="6" t="s">
        <v>35</v>
      </c>
      <c r="B9" s="26">
        <f>Дані!D9</f>
        <v>163.73699999999999</v>
      </c>
      <c r="C9" s="26">
        <f>Дані!E9</f>
        <v>363.154</v>
      </c>
      <c r="D9" s="26">
        <f>Дані!F9</f>
        <v>482.3</v>
      </c>
      <c r="E9" s="26">
        <f>Дані!G9</f>
        <v>570.33600000000001</v>
      </c>
      <c r="F9" s="26">
        <f>Дані!H9</f>
        <v>750.67100000000005</v>
      </c>
      <c r="G9" s="14"/>
    </row>
    <row r="10" spans="1:7">
      <c r="A10" s="6" t="s">
        <v>36</v>
      </c>
      <c r="B10" s="7">
        <f>Дані!D10-SUM(B7:B9)</f>
        <v>120.61500000000001</v>
      </c>
      <c r="C10" s="7">
        <f>Дані!E10-SUM(C7:C9)</f>
        <v>70.783999999999992</v>
      </c>
      <c r="D10" s="7">
        <f>Дані!F10-SUM(D7:D9)</f>
        <v>84.620999999999981</v>
      </c>
      <c r="E10" s="7">
        <f>Дані!G10-SUM(E7:E9)</f>
        <v>61.587999999999965</v>
      </c>
      <c r="F10" s="7">
        <f>Дані!H10-SUM(F7:F9)</f>
        <v>135.96699999999987</v>
      </c>
      <c r="G10" s="14"/>
    </row>
    <row r="11" spans="1:7" ht="54" customHeight="1">
      <c r="A11" s="27" t="s">
        <v>37</v>
      </c>
      <c r="B11" s="28">
        <f>Дані!D10</f>
        <v>286.54500000000002</v>
      </c>
      <c r="C11" s="28">
        <f>Дані!E10</f>
        <v>418.40699999999998</v>
      </c>
      <c r="D11" s="28">
        <f>Дані!F10</f>
        <v>659.95399999999995</v>
      </c>
      <c r="E11" s="28">
        <f>Дані!G10</f>
        <v>870.60299999999995</v>
      </c>
      <c r="F11" s="28">
        <f>Дані!H10</f>
        <v>1050.135</v>
      </c>
      <c r="G11" s="29" t="s">
        <v>38</v>
      </c>
    </row>
    <row r="12" spans="1:7">
      <c r="A12" s="6"/>
      <c r="B12" s="7"/>
      <c r="C12" s="7"/>
      <c r="D12" s="7"/>
      <c r="E12" s="7"/>
      <c r="F12" s="7"/>
      <c r="G12" s="14"/>
    </row>
    <row r="13" spans="1:7" ht="23" customHeight="1">
      <c r="A13" s="95" t="s">
        <v>39</v>
      </c>
      <c r="B13" s="96"/>
      <c r="C13" s="96"/>
      <c r="D13" s="96"/>
      <c r="E13" s="96"/>
      <c r="F13" s="96"/>
      <c r="G13" s="97"/>
    </row>
    <row r="14" spans="1:7">
      <c r="A14" s="6" t="s">
        <v>40</v>
      </c>
      <c r="B14" s="26">
        <f>Дані!D13</f>
        <v>-9.9559999999999995</v>
      </c>
      <c r="C14" s="26">
        <f>Дані!E13</f>
        <v>-35.261000000000003</v>
      </c>
      <c r="D14" s="26">
        <f>Дані!F13</f>
        <v>-27.585999999999999</v>
      </c>
      <c r="E14" s="26">
        <f>Дані!G13</f>
        <v>-34.719000000000001</v>
      </c>
      <c r="F14" s="26">
        <f>Дані!H13</f>
        <v>-49.578000000000003</v>
      </c>
      <c r="G14" s="14"/>
    </row>
    <row r="15" spans="1:7">
      <c r="A15" s="6" t="s">
        <v>41</v>
      </c>
      <c r="B15" s="26">
        <f>Дані!D14</f>
        <v>-26.068999999999999</v>
      </c>
      <c r="C15" s="26">
        <f>Дані!E14</f>
        <v>-29.628</v>
      </c>
      <c r="D15" s="26">
        <f>Дані!F14</f>
        <v>-34.82</v>
      </c>
      <c r="E15" s="26">
        <f>Дані!G14</f>
        <v>-60.780999999999999</v>
      </c>
      <c r="F15" s="26">
        <f>Дані!H14</f>
        <v>-85.84</v>
      </c>
      <c r="G15" s="14"/>
    </row>
    <row r="16" spans="1:7">
      <c r="A16" s="6" t="s">
        <v>42</v>
      </c>
      <c r="B16" s="7">
        <f>Дані!D11-SUM(B14:B15)</f>
        <v>-237.715</v>
      </c>
      <c r="C16" s="7">
        <f>Дані!E11-SUM(C14:C15)</f>
        <v>-319.78100000000001</v>
      </c>
      <c r="D16" s="7">
        <f>Дані!F11-SUM(D14:D15)</f>
        <v>-668.95900000000006</v>
      </c>
      <c r="E16" s="7">
        <f>Дані!G11-SUM(E14:E15)</f>
        <v>-641.34</v>
      </c>
      <c r="F16" s="7">
        <f>Дані!H11-SUM(F14:F15)</f>
        <v>-1199.0619999999999</v>
      </c>
      <c r="G16" s="14"/>
    </row>
    <row r="17" spans="1:7" ht="60" customHeight="1">
      <c r="A17" s="27" t="s">
        <v>43</v>
      </c>
      <c r="B17" s="28">
        <f>Дані!D11</f>
        <v>-273.74</v>
      </c>
      <c r="C17" s="28">
        <f>Дані!E11</f>
        <v>-384.67</v>
      </c>
      <c r="D17" s="28">
        <f>Дані!F11</f>
        <v>-731.36500000000001</v>
      </c>
      <c r="E17" s="28">
        <f>Дані!G11</f>
        <v>-736.84</v>
      </c>
      <c r="F17" s="28">
        <f>Дані!H11</f>
        <v>-1334.48</v>
      </c>
      <c r="G17" s="29" t="s">
        <v>44</v>
      </c>
    </row>
    <row r="18" spans="1:7">
      <c r="A18" s="6"/>
      <c r="B18" s="7"/>
      <c r="C18" s="7"/>
      <c r="D18" s="7"/>
      <c r="E18" s="7"/>
      <c r="F18" s="7"/>
      <c r="G18" s="14"/>
    </row>
    <row r="19" spans="1:7" ht="23" customHeight="1">
      <c r="A19" s="95" t="s">
        <v>45</v>
      </c>
      <c r="B19" s="96"/>
      <c r="C19" s="96"/>
      <c r="D19" s="96"/>
      <c r="E19" s="96"/>
      <c r="F19" s="96"/>
      <c r="G19" s="97"/>
    </row>
    <row r="20" spans="1:7" ht="47" customHeight="1">
      <c r="A20" s="27" t="s">
        <v>46</v>
      </c>
      <c r="B20" s="28">
        <f>Дані!D12</f>
        <v>34.94</v>
      </c>
      <c r="C20" s="28">
        <f>Дані!E12</f>
        <v>36.023000000000003</v>
      </c>
      <c r="D20" s="28">
        <f>Дані!F12</f>
        <v>58.279000000000003</v>
      </c>
      <c r="E20" s="28">
        <f>Дані!G12</f>
        <v>787.08299999999997</v>
      </c>
      <c r="F20" s="28">
        <f>Дані!H12</f>
        <v>-572.48299999999995</v>
      </c>
      <c r="G20" s="29" t="s">
        <v>47</v>
      </c>
    </row>
    <row r="21" spans="1:7">
      <c r="A21" s="6"/>
      <c r="B21" s="7"/>
      <c r="C21" s="7"/>
      <c r="D21" s="7"/>
      <c r="E21" s="7"/>
      <c r="F21" s="7"/>
      <c r="G21" s="14"/>
    </row>
    <row r="22" spans="1:7" ht="23" customHeight="1">
      <c r="A22" s="95" t="s">
        <v>48</v>
      </c>
      <c r="B22" s="96"/>
      <c r="C22" s="96"/>
      <c r="D22" s="96"/>
      <c r="E22" s="96"/>
      <c r="F22" s="96"/>
      <c r="G22" s="97"/>
    </row>
    <row r="23" spans="1:7">
      <c r="A23" s="6" t="s">
        <v>49</v>
      </c>
      <c r="B23" s="7">
        <f>Дані!D15-SUM(B11,B17,B20)</f>
        <v>-1.9930000000000021</v>
      </c>
      <c r="C23" s="7">
        <f>Дані!E15-SUM(C11,C17,C20)</f>
        <v>-1.9349999999999596</v>
      </c>
      <c r="D23" s="7">
        <f>Дані!F15-SUM(D11,D17,D20)</f>
        <v>1.1830000000000549</v>
      </c>
      <c r="E23" s="7">
        <f>Дані!G15-SUM(E11,E17,E20)</f>
        <v>-4.2019999999998845</v>
      </c>
      <c r="F23" s="7">
        <f>Дані!H15-SUM(F11,F17,F20)</f>
        <v>11.149999999999977</v>
      </c>
      <c r="G23" s="14"/>
    </row>
    <row r="24" spans="1:7">
      <c r="A24" s="27" t="s">
        <v>50</v>
      </c>
      <c r="B24" s="28">
        <f>Дані!D15</f>
        <v>45.752000000000002</v>
      </c>
      <c r="C24" s="28">
        <f>Дані!E15</f>
        <v>67.825000000000003</v>
      </c>
      <c r="D24" s="28">
        <f>Дані!F15</f>
        <v>-11.949</v>
      </c>
      <c r="E24" s="28">
        <f>Дані!G15</f>
        <v>916.64400000000001</v>
      </c>
      <c r="F24" s="28">
        <f>Дані!H15</f>
        <v>-845.678</v>
      </c>
      <c r="G24" s="29"/>
    </row>
    <row r="25" spans="1:7">
      <c r="A25" s="30" t="s">
        <v>51</v>
      </c>
      <c r="B25" s="31">
        <f>SUM(B11,B17,B20,B23)</f>
        <v>45.752000000000002</v>
      </c>
      <c r="C25" s="31">
        <f>SUM(C11,C17,C20,C23)</f>
        <v>67.825000000000003</v>
      </c>
      <c r="D25" s="31">
        <f>SUM(D11,D17,D20,D23)</f>
        <v>-11.949</v>
      </c>
      <c r="E25" s="31">
        <f>SUM(E11,E17,E20,E23)</f>
        <v>916.64400000000001</v>
      </c>
      <c r="F25" s="31">
        <f>SUM(F11,F17,F20,F23)</f>
        <v>-845.678</v>
      </c>
      <c r="G25" s="32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</sheetData>
  <mergeCells count="6">
    <mergeCell ref="A22:G22"/>
    <mergeCell ref="A1:G2"/>
    <mergeCell ref="A3:G3"/>
    <mergeCell ref="A6:G6"/>
    <mergeCell ref="A13:G13"/>
    <mergeCell ref="A19:G19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showGridLines="0" workbookViewId="0">
      <selection activeCell="J9" sqref="J9"/>
    </sheetView>
  </sheetViews>
  <sheetFormatPr baseColWidth="10" defaultColWidth="8.83203125" defaultRowHeight="15"/>
  <cols>
    <col min="1" max="1" width="48" customWidth="1"/>
    <col min="2" max="6" width="13" customWidth="1"/>
    <col min="8" max="8" width="23" customWidth="1"/>
    <col min="9" max="11" width="17" customWidth="1"/>
  </cols>
  <sheetData>
    <row r="1" spans="1:15" ht="34" customHeight="1">
      <c r="A1" s="51" t="s">
        <v>52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34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3" customHeight="1">
      <c r="A3" s="52" t="s">
        <v>53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2" t="s">
        <v>30</v>
      </c>
      <c r="B5" s="22">
        <v>2021</v>
      </c>
      <c r="C5" s="22">
        <v>2022</v>
      </c>
      <c r="D5" s="22">
        <v>2023</v>
      </c>
      <c r="E5" s="22">
        <v>2024</v>
      </c>
      <c r="F5" s="22">
        <v>2025</v>
      </c>
      <c r="G5" s="1"/>
      <c r="H5" s="2" t="s">
        <v>19</v>
      </c>
      <c r="I5" s="2" t="s">
        <v>11</v>
      </c>
      <c r="J5" s="2" t="s">
        <v>20</v>
      </c>
      <c r="K5" s="2" t="s">
        <v>21</v>
      </c>
      <c r="L5" s="1"/>
      <c r="M5" s="1"/>
      <c r="N5" s="1"/>
      <c r="O5" s="1"/>
    </row>
    <row r="6" spans="1:15">
      <c r="A6" s="1" t="s">
        <v>54</v>
      </c>
      <c r="B6" s="36">
        <f>Дані!D6</f>
        <v>1028.7840000000001</v>
      </c>
      <c r="C6" s="36">
        <f>Дані!E6</f>
        <v>1675.1</v>
      </c>
      <c r="D6" s="36">
        <f>Дані!F6</f>
        <v>2128.3589999999999</v>
      </c>
      <c r="E6" s="36">
        <f>Дані!G6</f>
        <v>2684.2750000000001</v>
      </c>
      <c r="F6" s="36">
        <f>Дані!H6</f>
        <v>3427.1579999999999</v>
      </c>
      <c r="G6" s="1"/>
      <c r="H6" s="1">
        <v>2021</v>
      </c>
      <c r="I6" s="3">
        <f>B7</f>
        <v>286.54500000000002</v>
      </c>
      <c r="J6" s="3">
        <f>B11</f>
        <v>250.52</v>
      </c>
      <c r="K6" s="3">
        <f>Дані!D7</f>
        <v>-20.745000000000001</v>
      </c>
      <c r="L6" s="1"/>
      <c r="M6" s="1"/>
      <c r="N6" s="1"/>
      <c r="O6" s="1"/>
    </row>
    <row r="7" spans="1:15">
      <c r="A7" s="1" t="s">
        <v>11</v>
      </c>
      <c r="B7" s="36">
        <f>Дані!D10</f>
        <v>286.54500000000002</v>
      </c>
      <c r="C7" s="36">
        <f>Дані!E10</f>
        <v>418.40699999999998</v>
      </c>
      <c r="D7" s="36">
        <f>Дані!F10</f>
        <v>659.95399999999995</v>
      </c>
      <c r="E7" s="36">
        <f>Дані!G10</f>
        <v>870.60299999999995</v>
      </c>
      <c r="F7" s="36">
        <f>Дані!H10</f>
        <v>1050.135</v>
      </c>
      <c r="G7" s="1"/>
      <c r="H7" s="1">
        <v>2022</v>
      </c>
      <c r="I7" s="3">
        <f>C7</f>
        <v>418.40699999999998</v>
      </c>
      <c r="J7" s="3">
        <f>C11</f>
        <v>353.51799999999997</v>
      </c>
      <c r="K7" s="3">
        <f>Дані!E7</f>
        <v>-50.16</v>
      </c>
      <c r="L7" s="1"/>
      <c r="M7" s="1"/>
      <c r="N7" s="1"/>
      <c r="O7" s="1"/>
    </row>
    <row r="8" spans="1:15">
      <c r="A8" s="1" t="s">
        <v>55</v>
      </c>
      <c r="B8" s="36">
        <f>Дані!D13</f>
        <v>-9.9559999999999995</v>
      </c>
      <c r="C8" s="36">
        <f>Дані!E13</f>
        <v>-35.261000000000003</v>
      </c>
      <c r="D8" s="36">
        <f>Дані!F13</f>
        <v>-27.585999999999999</v>
      </c>
      <c r="E8" s="36">
        <f>Дані!G13</f>
        <v>-34.719000000000001</v>
      </c>
      <c r="F8" s="36">
        <f>Дані!H13</f>
        <v>-49.578000000000003</v>
      </c>
      <c r="G8" s="1"/>
      <c r="H8" s="1">
        <v>2023</v>
      </c>
      <c r="I8" s="3">
        <f>D7</f>
        <v>659.95399999999995</v>
      </c>
      <c r="J8" s="3">
        <f>D11</f>
        <v>597.54799999999989</v>
      </c>
      <c r="K8" s="3">
        <f>Дані!F7</f>
        <v>48.567999999999998</v>
      </c>
      <c r="L8" s="1"/>
      <c r="M8" s="1"/>
      <c r="N8" s="1"/>
      <c r="O8" s="1"/>
    </row>
    <row r="9" spans="1:15">
      <c r="A9" s="33" t="s">
        <v>56</v>
      </c>
      <c r="B9" s="34">
        <f>SUM(B7:B8)</f>
        <v>276.589</v>
      </c>
      <c r="C9" s="34">
        <f>SUM(C7:C8)</f>
        <v>383.14599999999996</v>
      </c>
      <c r="D9" s="34">
        <f>SUM(D7:D8)</f>
        <v>632.36799999999994</v>
      </c>
      <c r="E9" s="34">
        <f>SUM(E7:E8)</f>
        <v>835.8839999999999</v>
      </c>
      <c r="F9" s="34">
        <f>SUM(F7:F8)</f>
        <v>1000.557</v>
      </c>
      <c r="G9" s="1"/>
      <c r="H9" s="1">
        <v>2024</v>
      </c>
      <c r="I9" s="3">
        <f>E7</f>
        <v>870.60299999999995</v>
      </c>
      <c r="J9" s="3">
        <f>E11</f>
        <v>775.10299999999995</v>
      </c>
      <c r="K9" s="3">
        <f>Дані!G7</f>
        <v>183.74600000000001</v>
      </c>
      <c r="L9" s="1"/>
      <c r="M9" s="1"/>
      <c r="N9" s="1"/>
      <c r="O9" s="1"/>
    </row>
    <row r="10" spans="1:15">
      <c r="A10" s="1" t="s">
        <v>57</v>
      </c>
      <c r="B10" s="36">
        <f>Дані!D14</f>
        <v>-26.068999999999999</v>
      </c>
      <c r="C10" s="36">
        <f>Дані!E14</f>
        <v>-29.628</v>
      </c>
      <c r="D10" s="36">
        <f>Дані!F14</f>
        <v>-34.82</v>
      </c>
      <c r="E10" s="36">
        <f>Дані!G14</f>
        <v>-60.780999999999999</v>
      </c>
      <c r="F10" s="36">
        <f>Дані!H14</f>
        <v>-85.84</v>
      </c>
      <c r="G10" s="1"/>
      <c r="H10" s="1">
        <v>2025</v>
      </c>
      <c r="I10" s="3">
        <f>F7</f>
        <v>1050.135</v>
      </c>
      <c r="J10" s="3">
        <f>F11</f>
        <v>914.71699999999998</v>
      </c>
      <c r="K10" s="3">
        <f>Дані!H7</f>
        <v>107.741</v>
      </c>
      <c r="L10" s="1"/>
      <c r="M10" s="1"/>
      <c r="N10" s="1"/>
      <c r="O10" s="1"/>
    </row>
    <row r="11" spans="1:15">
      <c r="A11" s="23" t="s">
        <v>58</v>
      </c>
      <c r="B11" s="24">
        <f>SUM(B7:B8,B10)</f>
        <v>250.52</v>
      </c>
      <c r="C11" s="24">
        <f>SUM(C7:C8,C10)</f>
        <v>353.51799999999997</v>
      </c>
      <c r="D11" s="24">
        <f>SUM(D7:D8,D10)</f>
        <v>597.54799999999989</v>
      </c>
      <c r="E11" s="24">
        <f>SUM(E7:E8,E10)</f>
        <v>775.10299999999995</v>
      </c>
      <c r="F11" s="24">
        <f>SUM(F7:F8,F10)</f>
        <v>914.71699999999998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59</v>
      </c>
      <c r="B12" s="35">
        <f>B11/B6</f>
        <v>0.24351078554876435</v>
      </c>
      <c r="C12" s="35">
        <f>C11/C6</f>
        <v>0.21104292281057846</v>
      </c>
      <c r="D12" s="35">
        <f>D11/D6</f>
        <v>0.28075526732097356</v>
      </c>
      <c r="E12" s="35">
        <f>E11/E6</f>
        <v>0.28875692691695148</v>
      </c>
      <c r="F12" s="35">
        <f>F11/F6</f>
        <v>0.2669024888843759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53" t="s">
        <v>60</v>
      </c>
      <c r="B15" s="53"/>
      <c r="C15" s="53"/>
      <c r="D15" s="53"/>
      <c r="E15" s="53"/>
      <c r="F15" s="53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61</v>
      </c>
      <c r="B16" s="35"/>
      <c r="C16" s="35">
        <f>C11/B11-1</f>
        <v>0.41113683538240453</v>
      </c>
      <c r="D16" s="35">
        <f>D11/C11-1</f>
        <v>0.69029016910030028</v>
      </c>
      <c r="E16" s="35">
        <f>E11/D11-1</f>
        <v>0.29713930931071664</v>
      </c>
      <c r="F16" s="35">
        <f>F11/E11-1</f>
        <v>0.18012315782547605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62</v>
      </c>
      <c r="B17" s="35">
        <f>(F11/B11)^(1/4)-1</f>
        <v>0.38232794216656907</v>
      </c>
      <c r="C17" s="35"/>
      <c r="D17" s="35"/>
      <c r="E17" s="35"/>
      <c r="F17" s="35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63</v>
      </c>
      <c r="B18" s="3">
        <f>B9-B11</f>
        <v>26.068999999999988</v>
      </c>
      <c r="C18" s="3">
        <f>C9-C11</f>
        <v>29.627999999999986</v>
      </c>
      <c r="D18" s="3">
        <f>D9-D11</f>
        <v>34.82000000000005</v>
      </c>
      <c r="E18" s="3">
        <f>E9-E11</f>
        <v>60.780999999999949</v>
      </c>
      <c r="F18" s="3">
        <f>F9-F11</f>
        <v>85.840000000000032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64</v>
      </c>
      <c r="B19" s="3">
        <f>ROUND(B11-Дані!D17,3)</f>
        <v>0</v>
      </c>
      <c r="C19" s="3">
        <f>ROUND(C11-Дані!E17,3)</f>
        <v>0</v>
      </c>
      <c r="D19" s="3">
        <f>ROUND(D11-Дані!F17,3)</f>
        <v>0</v>
      </c>
      <c r="E19" s="3">
        <f>ROUND(E11-Дані!G17,3)</f>
        <v>0</v>
      </c>
      <c r="F19" s="3">
        <f>ROUND(F11-Дані!H17,3)</f>
        <v>0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53" t="s">
        <v>65</v>
      </c>
      <c r="B22" s="53"/>
      <c r="C22" s="53"/>
      <c r="D22" s="53"/>
      <c r="E22" s="53"/>
      <c r="F22" s="53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98" t="s">
        <v>66</v>
      </c>
      <c r="B23" s="99"/>
      <c r="C23" s="99"/>
      <c r="D23" s="99"/>
      <c r="E23" s="99"/>
      <c r="F23" s="100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01"/>
      <c r="B24" s="102"/>
      <c r="C24" s="102"/>
      <c r="D24" s="102"/>
      <c r="E24" s="102"/>
      <c r="F24" s="103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01"/>
      <c r="B25" s="102"/>
      <c r="C25" s="102"/>
      <c r="D25" s="102"/>
      <c r="E25" s="102"/>
      <c r="F25" s="103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04"/>
      <c r="B26" s="105"/>
      <c r="C26" s="105"/>
      <c r="D26" s="105"/>
      <c r="E26" s="105"/>
      <c r="F26" s="106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mergeCells count="5">
    <mergeCell ref="A1:O2"/>
    <mergeCell ref="A3:O3"/>
    <mergeCell ref="A15:F15"/>
    <mergeCell ref="A22:F22"/>
    <mergeCell ref="A23:F26"/>
  </mergeCells>
  <conditionalFormatting sqref="B19:F19">
    <cfRule type="cellIs" dxfId="2" priority="1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showGridLines="0" workbookViewId="0">
      <selection activeCell="F12" sqref="F12"/>
    </sheetView>
  </sheetViews>
  <sheetFormatPr baseColWidth="10" defaultColWidth="8.83203125" defaultRowHeight="15"/>
  <cols>
    <col min="1" max="1" width="48" customWidth="1"/>
    <col min="2" max="6" width="13" customWidth="1"/>
    <col min="8" max="8" width="23" customWidth="1"/>
    <col min="9" max="11" width="17" customWidth="1"/>
  </cols>
  <sheetData>
    <row r="1" spans="1:15" ht="34" customHeight="1">
      <c r="A1" s="51" t="s">
        <v>67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34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3" customHeight="1">
      <c r="A3" s="52" t="s">
        <v>68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2" t="s">
        <v>30</v>
      </c>
      <c r="B5" s="22">
        <v>2021</v>
      </c>
      <c r="C5" s="22">
        <v>2022</v>
      </c>
      <c r="D5" s="22">
        <v>2023</v>
      </c>
      <c r="E5" s="22">
        <v>2024</v>
      </c>
      <c r="F5" s="22">
        <v>2025</v>
      </c>
      <c r="G5" s="1"/>
      <c r="H5" s="2" t="s">
        <v>19</v>
      </c>
      <c r="I5" s="2" t="s">
        <v>11</v>
      </c>
      <c r="J5" s="2" t="s">
        <v>21</v>
      </c>
      <c r="K5" s="2" t="s">
        <v>22</v>
      </c>
      <c r="L5" s="1"/>
      <c r="M5" s="1"/>
      <c r="N5" s="1"/>
      <c r="O5" s="1"/>
    </row>
    <row r="6" spans="1:15">
      <c r="A6" s="1" t="s">
        <v>33</v>
      </c>
      <c r="B6" s="36">
        <f>Дані!D7</f>
        <v>-20.745000000000001</v>
      </c>
      <c r="C6" s="36">
        <f>Дані!E7</f>
        <v>-50.16</v>
      </c>
      <c r="D6" s="36">
        <f>Дані!F7</f>
        <v>48.567999999999998</v>
      </c>
      <c r="E6" s="36">
        <f>Дані!G7</f>
        <v>183.74600000000001</v>
      </c>
      <c r="F6" s="36">
        <f>Дані!H7</f>
        <v>107.741</v>
      </c>
      <c r="G6" s="1"/>
      <c r="H6" s="1">
        <v>2021</v>
      </c>
      <c r="I6" s="3">
        <f>B7</f>
        <v>286.54500000000002</v>
      </c>
      <c r="J6" s="3">
        <f>B6</f>
        <v>-20.745000000000001</v>
      </c>
      <c r="K6" s="3">
        <f>B10</f>
        <v>163.73699999999999</v>
      </c>
      <c r="L6" s="1"/>
      <c r="M6" s="1"/>
      <c r="N6" s="1"/>
      <c r="O6" s="1"/>
    </row>
    <row r="7" spans="1:15">
      <c r="A7" s="1" t="s">
        <v>11</v>
      </c>
      <c r="B7" s="36">
        <f>Дані!D10</f>
        <v>286.54500000000002</v>
      </c>
      <c r="C7" s="36">
        <f>Дані!E10</f>
        <v>418.40699999999998</v>
      </c>
      <c r="D7" s="36">
        <f>Дані!F10</f>
        <v>659.95399999999995</v>
      </c>
      <c r="E7" s="36">
        <f>Дані!G10</f>
        <v>870.60299999999995</v>
      </c>
      <c r="F7" s="36">
        <f>Дані!H10</f>
        <v>1050.135</v>
      </c>
      <c r="G7" s="1"/>
      <c r="H7" s="1">
        <v>2022</v>
      </c>
      <c r="I7" s="3">
        <f>C7</f>
        <v>418.40699999999998</v>
      </c>
      <c r="J7" s="3">
        <f>C6</f>
        <v>-50.16</v>
      </c>
      <c r="K7" s="3">
        <f>C10</f>
        <v>363.154</v>
      </c>
      <c r="L7" s="1"/>
      <c r="M7" s="1"/>
      <c r="N7" s="1"/>
      <c r="O7" s="1"/>
    </row>
    <row r="8" spans="1:15">
      <c r="A8" s="23" t="s">
        <v>69</v>
      </c>
      <c r="B8" s="24">
        <f>B7-B6</f>
        <v>307.29000000000002</v>
      </c>
      <c r="C8" s="24">
        <f>C7-C6</f>
        <v>468.56700000000001</v>
      </c>
      <c r="D8" s="24">
        <f>D7-D6</f>
        <v>611.38599999999997</v>
      </c>
      <c r="E8" s="24">
        <f>E7-E6</f>
        <v>686.85699999999997</v>
      </c>
      <c r="F8" s="24">
        <f>F7-F6</f>
        <v>942.39400000000001</v>
      </c>
      <c r="G8" s="1"/>
      <c r="H8" s="1">
        <v>2023</v>
      </c>
      <c r="I8" s="3">
        <f>D7</f>
        <v>659.95399999999995</v>
      </c>
      <c r="J8" s="3">
        <f>D6</f>
        <v>48.567999999999998</v>
      </c>
      <c r="K8" s="3">
        <f>D10</f>
        <v>482.3</v>
      </c>
      <c r="L8" s="1"/>
      <c r="M8" s="1"/>
      <c r="N8" s="1"/>
      <c r="O8" s="1"/>
    </row>
    <row r="9" spans="1:15">
      <c r="A9" s="1" t="s">
        <v>70</v>
      </c>
      <c r="B9" s="37" t="str">
        <f>IF(B6&gt;0,B7/B6,"")</f>
        <v/>
      </c>
      <c r="C9" s="37" t="str">
        <f>IF(C6&gt;0,C7/C6,"")</f>
        <v/>
      </c>
      <c r="D9" s="37">
        <f>IF(D6&gt;0,D7/D6,"")</f>
        <v>13.588247405699226</v>
      </c>
      <c r="E9" s="37">
        <f>IF(E6&gt;0,E7/E6,"")</f>
        <v>4.7380786520522893</v>
      </c>
      <c r="F9" s="37">
        <f>IF(F6&gt;0,F7/F6,"")</f>
        <v>9.7468466043567439</v>
      </c>
      <c r="G9" s="1"/>
      <c r="H9" s="1">
        <v>2024</v>
      </c>
      <c r="I9" s="3">
        <f>E7</f>
        <v>870.60299999999995</v>
      </c>
      <c r="J9" s="3">
        <f>E6</f>
        <v>183.74600000000001</v>
      </c>
      <c r="K9" s="3">
        <f>E10</f>
        <v>570.33600000000001</v>
      </c>
      <c r="L9" s="1"/>
      <c r="M9" s="1"/>
      <c r="N9" s="1"/>
      <c r="O9" s="1"/>
    </row>
    <row r="10" spans="1:15">
      <c r="A10" s="1" t="s">
        <v>35</v>
      </c>
      <c r="B10" s="36">
        <f>Дані!D9</f>
        <v>163.73699999999999</v>
      </c>
      <c r="C10" s="36">
        <f>Дані!E9</f>
        <v>363.154</v>
      </c>
      <c r="D10" s="36">
        <f>Дані!F9</f>
        <v>482.3</v>
      </c>
      <c r="E10" s="36">
        <f>Дані!G9</f>
        <v>570.33600000000001</v>
      </c>
      <c r="F10" s="36">
        <f>Дані!H9</f>
        <v>750.67100000000005</v>
      </c>
      <c r="G10" s="1"/>
      <c r="H10" s="1">
        <v>2025</v>
      </c>
      <c r="I10" s="3">
        <f>F7</f>
        <v>1050.135</v>
      </c>
      <c r="J10" s="3">
        <f>F6</f>
        <v>107.741</v>
      </c>
      <c r="K10" s="3">
        <f>F10</f>
        <v>750.67100000000005</v>
      </c>
      <c r="L10" s="1"/>
      <c r="M10" s="1"/>
      <c r="N10" s="1"/>
      <c r="O10" s="1"/>
    </row>
    <row r="11" spans="1:15">
      <c r="A11" s="1" t="s">
        <v>71</v>
      </c>
      <c r="B11" s="35">
        <f>B10/B8</f>
        <v>0.53284194083764513</v>
      </c>
      <c r="C11" s="35">
        <f>C10/C8</f>
        <v>0.77503110547691145</v>
      </c>
      <c r="D11" s="35">
        <f>D10/D8</f>
        <v>0.78886333674634357</v>
      </c>
      <c r="E11" s="35">
        <f>E10/E8</f>
        <v>0.83035624591436064</v>
      </c>
      <c r="F11" s="35">
        <f>F10/F8</f>
        <v>0.79655749081594329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72</v>
      </c>
      <c r="B12" s="3">
        <f>B8-B10</f>
        <v>143.55300000000003</v>
      </c>
      <c r="C12" s="3">
        <f>C8-C10</f>
        <v>105.41300000000001</v>
      </c>
      <c r="D12" s="3">
        <f>D8-D10</f>
        <v>129.08599999999996</v>
      </c>
      <c r="E12" s="3">
        <f>E8-E10</f>
        <v>116.52099999999996</v>
      </c>
      <c r="F12" s="3">
        <f>F8-F10</f>
        <v>191.72299999999996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53" t="s">
        <v>73</v>
      </c>
      <c r="B15" s="53"/>
      <c r="C15" s="53"/>
      <c r="D15" s="53"/>
      <c r="E15" s="53"/>
      <c r="F15" s="53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07" t="s">
        <v>74</v>
      </c>
      <c r="B16" s="108"/>
      <c r="C16" s="108"/>
      <c r="D16" s="108"/>
      <c r="E16" s="108"/>
      <c r="F16" s="109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10"/>
      <c r="B17" s="111"/>
      <c r="C17" s="111"/>
      <c r="D17" s="111"/>
      <c r="E17" s="111"/>
      <c r="F17" s="112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10"/>
      <c r="B18" s="111"/>
      <c r="C18" s="111"/>
      <c r="D18" s="111"/>
      <c r="E18" s="111"/>
      <c r="F18" s="112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13"/>
      <c r="B19" s="114"/>
      <c r="C19" s="114"/>
      <c r="D19" s="114"/>
      <c r="E19" s="114"/>
      <c r="F19" s="115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98" t="s">
        <v>75</v>
      </c>
      <c r="B21" s="99"/>
      <c r="C21" s="99"/>
      <c r="D21" s="99"/>
      <c r="E21" s="99"/>
      <c r="F21" s="100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01"/>
      <c r="B22" s="102"/>
      <c r="C22" s="102"/>
      <c r="D22" s="102"/>
      <c r="E22" s="102"/>
      <c r="F22" s="103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01"/>
      <c r="B23" s="102"/>
      <c r="C23" s="102"/>
      <c r="D23" s="102"/>
      <c r="E23" s="102"/>
      <c r="F23" s="103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04"/>
      <c r="B24" s="105"/>
      <c r="C24" s="105"/>
      <c r="D24" s="105"/>
      <c r="E24" s="105"/>
      <c r="F24" s="106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5">
    <mergeCell ref="A1:O2"/>
    <mergeCell ref="A3:O3"/>
    <mergeCell ref="A15:F15"/>
    <mergeCell ref="A16:F19"/>
    <mergeCell ref="A21:F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showGridLines="0" workbookViewId="0">
      <selection sqref="A1:I2"/>
    </sheetView>
  </sheetViews>
  <sheetFormatPr baseColWidth="10" defaultColWidth="8.83203125" defaultRowHeight="15"/>
  <cols>
    <col min="1" max="1" width="38" customWidth="1"/>
    <col min="2" max="2" width="12" customWidth="1"/>
    <col min="3" max="3" width="19" customWidth="1"/>
    <col min="4" max="8" width="13" customWidth="1"/>
    <col min="9" max="9" width="42" customWidth="1"/>
  </cols>
  <sheetData>
    <row r="1" spans="1:9" ht="34" customHeight="1">
      <c r="A1" s="51" t="s">
        <v>76</v>
      </c>
      <c r="B1" s="51"/>
      <c r="C1" s="51"/>
      <c r="D1" s="51"/>
      <c r="E1" s="51"/>
      <c r="F1" s="51"/>
      <c r="G1" s="51"/>
      <c r="H1" s="51"/>
      <c r="I1" s="51"/>
    </row>
    <row r="2" spans="1:9" ht="34" customHeight="1">
      <c r="A2" s="51"/>
      <c r="B2" s="51"/>
      <c r="C2" s="51"/>
      <c r="D2" s="51"/>
      <c r="E2" s="51"/>
      <c r="F2" s="51"/>
      <c r="G2" s="51"/>
      <c r="H2" s="51"/>
      <c r="I2" s="51"/>
    </row>
    <row r="3" spans="1:9" ht="23" customHeight="1">
      <c r="A3" s="52" t="s">
        <v>77</v>
      </c>
      <c r="B3" s="52"/>
      <c r="C3" s="52"/>
      <c r="D3" s="52"/>
      <c r="E3" s="52"/>
      <c r="F3" s="52"/>
      <c r="G3" s="52"/>
      <c r="H3" s="52"/>
      <c r="I3" s="52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2" t="s">
        <v>30</v>
      </c>
      <c r="B5" s="2" t="s">
        <v>78</v>
      </c>
      <c r="C5" s="2" t="s">
        <v>79</v>
      </c>
      <c r="D5" s="22">
        <v>2021</v>
      </c>
      <c r="E5" s="22">
        <v>2022</v>
      </c>
      <c r="F5" s="22">
        <v>2023</v>
      </c>
      <c r="G5" s="22">
        <v>2024</v>
      </c>
      <c r="H5" s="22">
        <v>2025</v>
      </c>
      <c r="I5" s="2" t="s">
        <v>80</v>
      </c>
    </row>
    <row r="6" spans="1:9" ht="27" customHeight="1">
      <c r="A6" s="16" t="s">
        <v>54</v>
      </c>
      <c r="B6" s="17" t="s">
        <v>81</v>
      </c>
      <c r="C6" s="17" t="s">
        <v>82</v>
      </c>
      <c r="D6" s="5">
        <v>1028.7840000000001</v>
      </c>
      <c r="E6" s="5">
        <v>1675.1</v>
      </c>
      <c r="F6" s="5">
        <v>2128.3589999999999</v>
      </c>
      <c r="G6" s="5">
        <v>2684.2750000000001</v>
      </c>
      <c r="H6" s="5">
        <v>3427.1579999999999</v>
      </c>
      <c r="I6" s="10" t="s">
        <v>83</v>
      </c>
    </row>
    <row r="7" spans="1:9" ht="27" customHeight="1">
      <c r="A7" s="18" t="s">
        <v>33</v>
      </c>
      <c r="B7" s="19" t="s">
        <v>81</v>
      </c>
      <c r="C7" s="19" t="s">
        <v>82</v>
      </c>
      <c r="D7" s="7">
        <v>-20.745000000000001</v>
      </c>
      <c r="E7" s="7">
        <v>-50.16</v>
      </c>
      <c r="F7" s="7">
        <v>48.567999999999998</v>
      </c>
      <c r="G7" s="7">
        <v>183.74600000000001</v>
      </c>
      <c r="H7" s="7">
        <v>107.741</v>
      </c>
      <c r="I7" s="11" t="s">
        <v>84</v>
      </c>
    </row>
    <row r="8" spans="1:9" ht="27" customHeight="1">
      <c r="A8" s="18" t="s">
        <v>34</v>
      </c>
      <c r="B8" s="19" t="s">
        <v>81</v>
      </c>
      <c r="C8" s="19" t="s">
        <v>82</v>
      </c>
      <c r="D8" s="7">
        <v>22.937999999999999</v>
      </c>
      <c r="E8" s="7">
        <v>34.628999999999998</v>
      </c>
      <c r="F8" s="7">
        <v>44.465000000000003</v>
      </c>
      <c r="G8" s="7">
        <v>54.933</v>
      </c>
      <c r="H8" s="7">
        <v>55.756</v>
      </c>
      <c r="I8" s="11" t="s">
        <v>85</v>
      </c>
    </row>
    <row r="9" spans="1:9" ht="27" customHeight="1">
      <c r="A9" s="18" t="s">
        <v>86</v>
      </c>
      <c r="B9" s="19" t="s">
        <v>81</v>
      </c>
      <c r="C9" s="19" t="s">
        <v>82</v>
      </c>
      <c r="D9" s="7">
        <v>163.73699999999999</v>
      </c>
      <c r="E9" s="7">
        <v>363.154</v>
      </c>
      <c r="F9" s="7">
        <v>482.3</v>
      </c>
      <c r="G9" s="7">
        <v>570.33600000000001</v>
      </c>
      <c r="H9" s="7">
        <v>750.67100000000005</v>
      </c>
      <c r="I9" s="11" t="s">
        <v>87</v>
      </c>
    </row>
    <row r="10" spans="1:9" ht="27" customHeight="1">
      <c r="A10" s="18" t="s">
        <v>88</v>
      </c>
      <c r="B10" s="19" t="s">
        <v>81</v>
      </c>
      <c r="C10" s="19" t="s">
        <v>82</v>
      </c>
      <c r="D10" s="7">
        <v>286.54500000000002</v>
      </c>
      <c r="E10" s="7">
        <v>418.40699999999998</v>
      </c>
      <c r="F10" s="7">
        <v>659.95399999999995</v>
      </c>
      <c r="G10" s="7">
        <v>870.60299999999995</v>
      </c>
      <c r="H10" s="7">
        <v>1050.135</v>
      </c>
      <c r="I10" s="11" t="s">
        <v>89</v>
      </c>
    </row>
    <row r="11" spans="1:9" ht="27" customHeight="1">
      <c r="A11" s="18" t="s">
        <v>90</v>
      </c>
      <c r="B11" s="19" t="s">
        <v>81</v>
      </c>
      <c r="C11" s="19" t="s">
        <v>82</v>
      </c>
      <c r="D11" s="7">
        <v>-273.74</v>
      </c>
      <c r="E11" s="7">
        <v>-384.67</v>
      </c>
      <c r="F11" s="7">
        <v>-731.36500000000001</v>
      </c>
      <c r="G11" s="7">
        <v>-736.84</v>
      </c>
      <c r="H11" s="7">
        <v>-1334.48</v>
      </c>
      <c r="I11" s="11" t="s">
        <v>91</v>
      </c>
    </row>
    <row r="12" spans="1:9" ht="27" customHeight="1">
      <c r="A12" s="18" t="s">
        <v>92</v>
      </c>
      <c r="B12" s="19" t="s">
        <v>81</v>
      </c>
      <c r="C12" s="19" t="s">
        <v>82</v>
      </c>
      <c r="D12" s="7">
        <v>34.94</v>
      </c>
      <c r="E12" s="7">
        <v>36.023000000000003</v>
      </c>
      <c r="F12" s="7">
        <v>58.279000000000003</v>
      </c>
      <c r="G12" s="7">
        <v>787.08299999999997</v>
      </c>
      <c r="H12" s="7">
        <v>-572.48299999999995</v>
      </c>
      <c r="I12" s="11" t="s">
        <v>93</v>
      </c>
    </row>
    <row r="13" spans="1:9" ht="27" customHeight="1">
      <c r="A13" s="18" t="s">
        <v>40</v>
      </c>
      <c r="B13" s="19" t="s">
        <v>81</v>
      </c>
      <c r="C13" s="19" t="s">
        <v>82</v>
      </c>
      <c r="D13" s="7">
        <v>-9.9559999999999995</v>
      </c>
      <c r="E13" s="7">
        <v>-35.261000000000003</v>
      </c>
      <c r="F13" s="7">
        <v>-27.585999999999999</v>
      </c>
      <c r="G13" s="7">
        <v>-34.719000000000001</v>
      </c>
      <c r="H13" s="7">
        <v>-49.578000000000003</v>
      </c>
      <c r="I13" s="11" t="s">
        <v>94</v>
      </c>
    </row>
    <row r="14" spans="1:9" ht="27" customHeight="1">
      <c r="A14" s="18" t="s">
        <v>41</v>
      </c>
      <c r="B14" s="19" t="s">
        <v>81</v>
      </c>
      <c r="C14" s="19" t="s">
        <v>82</v>
      </c>
      <c r="D14" s="7">
        <v>-26.068999999999999</v>
      </c>
      <c r="E14" s="7">
        <v>-29.628</v>
      </c>
      <c r="F14" s="7">
        <v>-34.82</v>
      </c>
      <c r="G14" s="7">
        <v>-60.780999999999999</v>
      </c>
      <c r="H14" s="7">
        <v>-85.84</v>
      </c>
      <c r="I14" s="11" t="s">
        <v>95</v>
      </c>
    </row>
    <row r="15" spans="1:9" ht="27" customHeight="1">
      <c r="A15" s="18" t="s">
        <v>50</v>
      </c>
      <c r="B15" s="19" t="s">
        <v>81</v>
      </c>
      <c r="C15" s="19" t="s">
        <v>82</v>
      </c>
      <c r="D15" s="7">
        <v>45.752000000000002</v>
      </c>
      <c r="E15" s="7">
        <v>67.825000000000003</v>
      </c>
      <c r="F15" s="7">
        <v>-11.949</v>
      </c>
      <c r="G15" s="7">
        <v>916.64400000000001</v>
      </c>
      <c r="H15" s="7">
        <v>-845.678</v>
      </c>
      <c r="I15" s="11" t="s">
        <v>96</v>
      </c>
    </row>
    <row r="16" spans="1:9" ht="27" customHeight="1">
      <c r="A16" s="18" t="s">
        <v>97</v>
      </c>
      <c r="B16" s="19" t="s">
        <v>81</v>
      </c>
      <c r="C16" s="19" t="s">
        <v>82</v>
      </c>
      <c r="D16" s="7">
        <v>270.97300000000001</v>
      </c>
      <c r="E16" s="7">
        <v>338.98500000000001</v>
      </c>
      <c r="F16" s="7">
        <v>330.339</v>
      </c>
      <c r="G16" s="7">
        <v>1246.9829999999999</v>
      </c>
      <c r="H16" s="7">
        <v>401.30500000000001</v>
      </c>
      <c r="I16" s="11" t="s">
        <v>98</v>
      </c>
    </row>
    <row r="17" spans="1:9" ht="27" customHeight="1">
      <c r="A17" s="20" t="s">
        <v>99</v>
      </c>
      <c r="B17" s="21" t="s">
        <v>81</v>
      </c>
      <c r="C17" s="21" t="s">
        <v>82</v>
      </c>
      <c r="D17" s="9">
        <v>250.52</v>
      </c>
      <c r="E17" s="9">
        <v>353.51799999999997</v>
      </c>
      <c r="F17" s="9">
        <v>597.548</v>
      </c>
      <c r="G17" s="9">
        <v>775.10299999999995</v>
      </c>
      <c r="H17" s="9">
        <v>914.71699999999998</v>
      </c>
      <c r="I17" s="12" t="s">
        <v>100</v>
      </c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</sheetData>
  <mergeCells count="2">
    <mergeCell ref="A1:I2"/>
    <mergeCell ref="A3:I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workbookViewId="0">
      <selection sqref="A1:H2"/>
    </sheetView>
  </sheetViews>
  <sheetFormatPr baseColWidth="10" defaultColWidth="8.83203125" defaultRowHeight="15"/>
  <cols>
    <col min="1" max="1" width="13" customWidth="1"/>
    <col min="2" max="2" width="27" customWidth="1"/>
    <col min="3" max="3" width="13" customWidth="1"/>
    <col min="4" max="7" width="14" customWidth="1"/>
    <col min="8" max="8" width="13" customWidth="1"/>
  </cols>
  <sheetData>
    <row r="1" spans="1:8" ht="34" customHeight="1">
      <c r="A1" s="51" t="s">
        <v>101</v>
      </c>
      <c r="B1" s="51"/>
      <c r="C1" s="51"/>
      <c r="D1" s="51"/>
      <c r="E1" s="51"/>
      <c r="F1" s="51"/>
      <c r="G1" s="51"/>
      <c r="H1" s="51"/>
    </row>
    <row r="2" spans="1:8" ht="34" customHeight="1">
      <c r="A2" s="51"/>
      <c r="B2" s="51"/>
      <c r="C2" s="51"/>
      <c r="D2" s="51"/>
      <c r="E2" s="51"/>
      <c r="F2" s="51"/>
      <c r="G2" s="51"/>
      <c r="H2" s="51"/>
    </row>
    <row r="3" spans="1:8" ht="23" customHeight="1">
      <c r="A3" s="52" t="s">
        <v>102</v>
      </c>
      <c r="B3" s="52"/>
      <c r="C3" s="52"/>
      <c r="D3" s="52"/>
      <c r="E3" s="52"/>
      <c r="F3" s="52"/>
      <c r="G3" s="52"/>
      <c r="H3" s="52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103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109</v>
      </c>
      <c r="H5" s="2" t="s">
        <v>3</v>
      </c>
    </row>
    <row r="6" spans="1:8">
      <c r="A6" s="4" t="s">
        <v>110</v>
      </c>
      <c r="B6" s="4" t="s">
        <v>111</v>
      </c>
      <c r="C6" s="4">
        <v>2021</v>
      </c>
      <c r="D6" s="38">
        <f>'Cash Flow'!B24</f>
        <v>45.752000000000002</v>
      </c>
      <c r="E6" s="38">
        <f>'Cash Flow'!B25</f>
        <v>45.752000000000002</v>
      </c>
      <c r="F6" s="38">
        <f>ROUND(E6-D6,3)</f>
        <v>0</v>
      </c>
      <c r="G6" s="38">
        <v>0.01</v>
      </c>
      <c r="H6" s="4" t="str">
        <f>IF(ABS(F6)&lt;=G6,"OK","CHECK")</f>
        <v>OK</v>
      </c>
    </row>
    <row r="7" spans="1:8">
      <c r="A7" s="6" t="s">
        <v>112</v>
      </c>
      <c r="B7" s="6" t="s">
        <v>111</v>
      </c>
      <c r="C7" s="6">
        <v>2022</v>
      </c>
      <c r="D7" s="39">
        <f>'Cash Flow'!C24</f>
        <v>67.825000000000003</v>
      </c>
      <c r="E7" s="39">
        <f>'Cash Flow'!C25</f>
        <v>67.825000000000003</v>
      </c>
      <c r="F7" s="39">
        <f>ROUND(E7-D7,3)</f>
        <v>0</v>
      </c>
      <c r="G7" s="39">
        <v>0.01</v>
      </c>
      <c r="H7" s="6" t="str">
        <f>IF(ABS(F7)&lt;=G7,"OK","CHECK")</f>
        <v>OK</v>
      </c>
    </row>
    <row r="8" spans="1:8">
      <c r="A8" s="6" t="s">
        <v>113</v>
      </c>
      <c r="B8" s="6" t="s">
        <v>111</v>
      </c>
      <c r="C8" s="6">
        <v>2023</v>
      </c>
      <c r="D8" s="39">
        <f>'Cash Flow'!D24</f>
        <v>-11.949</v>
      </c>
      <c r="E8" s="39">
        <f>'Cash Flow'!D25</f>
        <v>-11.949</v>
      </c>
      <c r="F8" s="39">
        <f>ROUND(E8-D8,3)</f>
        <v>0</v>
      </c>
      <c r="G8" s="39">
        <v>0.01</v>
      </c>
      <c r="H8" s="6" t="str">
        <f>IF(ABS(F8)&lt;=G8,"OK","CHECK")</f>
        <v>OK</v>
      </c>
    </row>
    <row r="9" spans="1:8">
      <c r="A9" s="6" t="s">
        <v>114</v>
      </c>
      <c r="B9" s="6" t="s">
        <v>111</v>
      </c>
      <c r="C9" s="6">
        <v>2024</v>
      </c>
      <c r="D9" s="39">
        <f>'Cash Flow'!E24</f>
        <v>916.64400000000001</v>
      </c>
      <c r="E9" s="39">
        <f>'Cash Flow'!E25</f>
        <v>916.64400000000001</v>
      </c>
      <c r="F9" s="39">
        <f>ROUND(E9-D9,3)</f>
        <v>0</v>
      </c>
      <c r="G9" s="39">
        <v>0.01</v>
      </c>
      <c r="H9" s="6" t="str">
        <f>IF(ABS(F9)&lt;=G9,"OK","CHECK")</f>
        <v>OK</v>
      </c>
    </row>
    <row r="10" spans="1:8">
      <c r="A10" s="6" t="s">
        <v>115</v>
      </c>
      <c r="B10" s="6" t="s">
        <v>111</v>
      </c>
      <c r="C10" s="6">
        <v>2025</v>
      </c>
      <c r="D10" s="39">
        <f>'Cash Flow'!F24</f>
        <v>-845.678</v>
      </c>
      <c r="E10" s="39">
        <f>'Cash Flow'!F25</f>
        <v>-845.678</v>
      </c>
      <c r="F10" s="39">
        <f>ROUND(E10-D10,3)</f>
        <v>0</v>
      </c>
      <c r="G10" s="39">
        <v>0.01</v>
      </c>
      <c r="H10" s="6" t="str">
        <f>IF(ABS(F10)&lt;=G10,"OK","CHECK")</f>
        <v>OK</v>
      </c>
    </row>
    <row r="11" spans="1:8">
      <c r="A11" s="6"/>
      <c r="B11" s="6"/>
      <c r="C11" s="6"/>
      <c r="D11" s="39"/>
      <c r="E11" s="39"/>
      <c r="F11" s="39"/>
      <c r="G11" s="39"/>
      <c r="H11" s="6"/>
    </row>
    <row r="12" spans="1:8">
      <c r="A12" s="6"/>
      <c r="B12" s="6"/>
      <c r="C12" s="6"/>
      <c r="D12" s="39"/>
      <c r="E12" s="39"/>
      <c r="F12" s="39"/>
      <c r="G12" s="39"/>
      <c r="H12" s="6"/>
    </row>
    <row r="13" spans="1:8">
      <c r="A13" s="6" t="s">
        <v>116</v>
      </c>
      <c r="B13" s="6" t="s">
        <v>117</v>
      </c>
      <c r="C13" s="6">
        <v>2021</v>
      </c>
      <c r="D13" s="39">
        <f>Дані!D17</f>
        <v>250.52</v>
      </c>
      <c r="E13" s="39">
        <f>FCF!B11</f>
        <v>250.52</v>
      </c>
      <c r="F13" s="39">
        <f>ROUND(E13-D13,3)</f>
        <v>0</v>
      </c>
      <c r="G13" s="39">
        <v>0.01</v>
      </c>
      <c r="H13" s="6" t="str">
        <f>IF(ABS(F13)&lt;=G13,"OK","CHECK")</f>
        <v>OK</v>
      </c>
    </row>
    <row r="14" spans="1:8">
      <c r="A14" s="6" t="s">
        <v>118</v>
      </c>
      <c r="B14" s="6" t="s">
        <v>117</v>
      </c>
      <c r="C14" s="6">
        <v>2022</v>
      </c>
      <c r="D14" s="39">
        <f>Дані!E17</f>
        <v>353.51799999999997</v>
      </c>
      <c r="E14" s="39">
        <f>FCF!C11</f>
        <v>353.51799999999997</v>
      </c>
      <c r="F14" s="39">
        <f>ROUND(E14-D14,3)</f>
        <v>0</v>
      </c>
      <c r="G14" s="39">
        <v>0.01</v>
      </c>
      <c r="H14" s="6" t="str">
        <f>IF(ABS(F14)&lt;=G14,"OK","CHECK")</f>
        <v>OK</v>
      </c>
    </row>
    <row r="15" spans="1:8">
      <c r="A15" s="6" t="s">
        <v>119</v>
      </c>
      <c r="B15" s="6" t="s">
        <v>117</v>
      </c>
      <c r="C15" s="6">
        <v>2023</v>
      </c>
      <c r="D15" s="39">
        <f>Дані!F17</f>
        <v>597.548</v>
      </c>
      <c r="E15" s="39">
        <f>FCF!D11</f>
        <v>597.54799999999989</v>
      </c>
      <c r="F15" s="39">
        <f>ROUND(E15-D15,3)</f>
        <v>0</v>
      </c>
      <c r="G15" s="39">
        <v>0.01</v>
      </c>
      <c r="H15" s="6" t="str">
        <f>IF(ABS(F15)&lt;=G15,"OK","CHECK")</f>
        <v>OK</v>
      </c>
    </row>
    <row r="16" spans="1:8">
      <c r="A16" s="6" t="s">
        <v>120</v>
      </c>
      <c r="B16" s="6" t="s">
        <v>117</v>
      </c>
      <c r="C16" s="6">
        <v>2024</v>
      </c>
      <c r="D16" s="39">
        <f>Дані!G17</f>
        <v>775.10299999999995</v>
      </c>
      <c r="E16" s="39">
        <f>FCF!E11</f>
        <v>775.10299999999995</v>
      </c>
      <c r="F16" s="39">
        <f>ROUND(E16-D16,3)</f>
        <v>0</v>
      </c>
      <c r="G16" s="39">
        <v>0.01</v>
      </c>
      <c r="H16" s="6" t="str">
        <f>IF(ABS(F16)&lt;=G16,"OK","CHECK")</f>
        <v>OK</v>
      </c>
    </row>
    <row r="17" spans="1:8">
      <c r="A17" s="6" t="s">
        <v>121</v>
      </c>
      <c r="B17" s="6" t="s">
        <v>117</v>
      </c>
      <c r="C17" s="6">
        <v>2025</v>
      </c>
      <c r="D17" s="39">
        <f>Дані!H17</f>
        <v>914.71699999999998</v>
      </c>
      <c r="E17" s="39">
        <f>FCF!F11</f>
        <v>914.71699999999998</v>
      </c>
      <c r="F17" s="39">
        <f>ROUND(E17-D17,3)</f>
        <v>0</v>
      </c>
      <c r="G17" s="39">
        <v>0.01</v>
      </c>
      <c r="H17" s="6" t="str">
        <f>IF(ABS(F17)&lt;=G17,"OK","CHECK")</f>
        <v>OK</v>
      </c>
    </row>
    <row r="18" spans="1:8">
      <c r="A18" s="6"/>
      <c r="B18" s="6"/>
      <c r="C18" s="6"/>
      <c r="D18" s="39"/>
      <c r="E18" s="39"/>
      <c r="F18" s="39"/>
      <c r="G18" s="39"/>
      <c r="H18" s="6"/>
    </row>
    <row r="19" spans="1:8">
      <c r="A19" s="6"/>
      <c r="B19" s="6"/>
      <c r="C19" s="6"/>
      <c r="D19" s="39"/>
      <c r="E19" s="39"/>
      <c r="F19" s="39"/>
      <c r="G19" s="39"/>
      <c r="H19" s="6"/>
    </row>
    <row r="20" spans="1:8">
      <c r="A20" s="8" t="s">
        <v>122</v>
      </c>
      <c r="B20" s="8" t="s">
        <v>123</v>
      </c>
      <c r="C20" s="8" t="s">
        <v>124</v>
      </c>
      <c r="D20" s="40">
        <v>12</v>
      </c>
      <c r="E20" s="40">
        <f>COUNTIF(Дані!C6:C17,"&lt;&gt;")</f>
        <v>12</v>
      </c>
      <c r="F20" s="40">
        <f>E20-D20</f>
        <v>0</v>
      </c>
      <c r="G20" s="40">
        <v>0</v>
      </c>
      <c r="H20" s="8" t="str">
        <f>IF(F20=0,"OK","CHECK")</f>
        <v>OK</v>
      </c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 ht="23" customHeight="1">
      <c r="A23" s="53" t="s">
        <v>125</v>
      </c>
      <c r="B23" s="53"/>
      <c r="C23" s="53"/>
      <c r="D23" s="53"/>
      <c r="E23" s="53"/>
      <c r="F23" s="53"/>
      <c r="G23" s="53"/>
      <c r="H23" s="53"/>
    </row>
    <row r="24" spans="1:8">
      <c r="A24" s="116" t="s">
        <v>126</v>
      </c>
      <c r="B24" s="116"/>
      <c r="C24" s="116"/>
      <c r="D24" s="116"/>
      <c r="E24" s="116"/>
      <c r="F24" s="116"/>
      <c r="G24" s="117" t="str">
        <f>IF(COUNTIF(H6:H20,"CHECK")=0,"OK","CHECK")</f>
        <v>OK</v>
      </c>
      <c r="H24" s="118"/>
    </row>
    <row r="25" spans="1:8">
      <c r="A25" s="116"/>
      <c r="B25" s="116"/>
      <c r="C25" s="116"/>
      <c r="D25" s="116"/>
      <c r="E25" s="116"/>
      <c r="F25" s="116"/>
      <c r="G25" s="119"/>
      <c r="H25" s="120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</sheetData>
  <mergeCells count="5">
    <mergeCell ref="A1:H2"/>
    <mergeCell ref="A3:H3"/>
    <mergeCell ref="A23:H23"/>
    <mergeCell ref="A24:F25"/>
    <mergeCell ref="G24:H25"/>
  </mergeCells>
  <conditionalFormatting sqref="H6:H20">
    <cfRule type="containsText" dxfId="1" priority="1" operator="containsText" text="OK"/>
    <cfRule type="containsText" dxfId="0" priority="2" operator="containsText" text="CHECK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showGridLines="0" workbookViewId="0">
      <selection sqref="A1:J2"/>
    </sheetView>
  </sheetViews>
  <sheetFormatPr baseColWidth="10" defaultColWidth="8.83203125" defaultRowHeight="15"/>
  <cols>
    <col min="1" max="1" width="12" customWidth="1"/>
    <col min="2" max="2" width="29" customWidth="1"/>
    <col min="3" max="3" width="20" customWidth="1"/>
    <col min="4" max="4" width="18" customWidth="1"/>
    <col min="5" max="6" width="15" customWidth="1"/>
    <col min="7" max="7" width="9" customWidth="1"/>
    <col min="8" max="8" width="22" customWidth="1"/>
    <col min="9" max="9" width="67" customWidth="1"/>
    <col min="10" max="10" width="55" customWidth="1"/>
  </cols>
  <sheetData>
    <row r="1" spans="1:10" ht="34" customHeight="1">
      <c r="A1" s="51" t="s">
        <v>127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34" customHeight="1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ht="23" customHeight="1">
      <c r="A3" s="52" t="s">
        <v>128</v>
      </c>
      <c r="B3" s="52"/>
      <c r="C3" s="52"/>
      <c r="D3" s="52"/>
      <c r="E3" s="52"/>
      <c r="F3" s="52"/>
      <c r="G3" s="52"/>
      <c r="H3" s="52"/>
      <c r="I3" s="52"/>
      <c r="J3" s="52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2" t="s">
        <v>79</v>
      </c>
      <c r="B5" s="2" t="s">
        <v>129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134</v>
      </c>
      <c r="H5" s="2" t="s">
        <v>135</v>
      </c>
      <c r="I5" s="2" t="s">
        <v>136</v>
      </c>
      <c r="J5" s="2" t="s">
        <v>137</v>
      </c>
    </row>
    <row r="6" spans="1:10" ht="44" customHeight="1">
      <c r="A6" s="4" t="s">
        <v>138</v>
      </c>
      <c r="B6" s="4" t="s">
        <v>139</v>
      </c>
      <c r="C6" s="4" t="s">
        <v>140</v>
      </c>
      <c r="D6" s="4" t="s">
        <v>141</v>
      </c>
      <c r="E6" s="41">
        <v>46071</v>
      </c>
      <c r="F6" s="41">
        <v>46232</v>
      </c>
      <c r="G6" s="4">
        <v>3</v>
      </c>
      <c r="H6" s="4" t="s">
        <v>142</v>
      </c>
      <c r="I6" s="13" t="s">
        <v>143</v>
      </c>
      <c r="J6" s="13" t="s">
        <v>144</v>
      </c>
    </row>
    <row r="7" spans="1:10" ht="44" customHeight="1">
      <c r="A7" s="6" t="s">
        <v>145</v>
      </c>
      <c r="B7" s="6" t="s">
        <v>146</v>
      </c>
      <c r="C7" s="6" t="s">
        <v>140</v>
      </c>
      <c r="D7" s="6" t="s">
        <v>147</v>
      </c>
      <c r="E7" s="42">
        <v>45345</v>
      </c>
      <c r="F7" s="42">
        <v>46232</v>
      </c>
      <c r="G7" s="6">
        <v>3</v>
      </c>
      <c r="H7" s="6" t="s">
        <v>148</v>
      </c>
      <c r="I7" s="14" t="s">
        <v>149</v>
      </c>
      <c r="J7" s="14" t="s">
        <v>150</v>
      </c>
    </row>
    <row r="8" spans="1:10" ht="44" customHeight="1">
      <c r="A8" s="8" t="s">
        <v>151</v>
      </c>
      <c r="B8" s="8" t="s">
        <v>152</v>
      </c>
      <c r="C8" s="8" t="s">
        <v>153</v>
      </c>
      <c r="D8" s="8" t="s">
        <v>154</v>
      </c>
      <c r="E8" s="43">
        <v>46071</v>
      </c>
      <c r="F8" s="43">
        <v>46232</v>
      </c>
      <c r="G8" s="8">
        <v>3</v>
      </c>
      <c r="H8" s="8" t="s">
        <v>142</v>
      </c>
      <c r="I8" s="15" t="s">
        <v>155</v>
      </c>
      <c r="J8" s="15" t="s">
        <v>156</v>
      </c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3" customHeight="1">
      <c r="A11" s="53" t="s">
        <v>157</v>
      </c>
      <c r="B11" s="53"/>
      <c r="C11" s="53"/>
      <c r="D11" s="53"/>
      <c r="E11" s="53"/>
      <c r="F11" s="53"/>
      <c r="G11" s="53"/>
      <c r="H11" s="53"/>
      <c r="I11" s="53"/>
      <c r="J11" s="53"/>
    </row>
    <row r="12" spans="1:10">
      <c r="A12" s="121" t="s">
        <v>158</v>
      </c>
      <c r="B12" s="122"/>
      <c r="C12" s="122"/>
      <c r="D12" s="122"/>
      <c r="E12" s="122"/>
      <c r="F12" s="122"/>
      <c r="G12" s="122"/>
      <c r="H12" s="122"/>
      <c r="I12" s="122"/>
      <c r="J12" s="123"/>
    </row>
    <row r="13" spans="1:10">
      <c r="A13" s="124"/>
      <c r="B13" s="125"/>
      <c r="C13" s="125"/>
      <c r="D13" s="125"/>
      <c r="E13" s="125"/>
      <c r="F13" s="125"/>
      <c r="G13" s="125"/>
      <c r="H13" s="125"/>
      <c r="I13" s="125"/>
      <c r="J13" s="126"/>
    </row>
    <row r="14" spans="1:10">
      <c r="A14" s="127"/>
      <c r="B14" s="128"/>
      <c r="C14" s="128"/>
      <c r="D14" s="128"/>
      <c r="E14" s="128"/>
      <c r="F14" s="128"/>
      <c r="G14" s="128"/>
      <c r="H14" s="128"/>
      <c r="I14" s="128"/>
      <c r="J14" s="129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4">
    <mergeCell ref="A1:J2"/>
    <mergeCell ref="A3:J3"/>
    <mergeCell ref="A11:J11"/>
    <mergeCell ref="A12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Огляд</vt:lpstr>
      <vt:lpstr>Cash Flow</vt:lpstr>
      <vt:lpstr>FCF</vt:lpstr>
      <vt:lpstr>OCF vs NI</vt:lpstr>
      <vt:lpstr>Дані</vt:lpstr>
      <vt:lpstr>Перевірки</vt:lpstr>
      <vt:lpstr>Джерела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Taras Vynnychuk</cp:lastModifiedBy>
  <dcterms:modified xsi:type="dcterms:W3CDTF">2026-07-30T21:51:59Z</dcterms:modified>
</cp:coreProperties>
</file>