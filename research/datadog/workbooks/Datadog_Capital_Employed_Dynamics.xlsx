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c4f62790e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b944dd188014309"/>
    <x:sheet xmlns:r="http://schemas.openxmlformats.org/officeDocument/2006/relationships" name="Assumptions" sheetId="2" r:id="R8db4d77126fd4706"/>
    <x:sheet xmlns:r="http://schemas.openxmlformats.org/officeDocument/2006/relationships" name="Capital Employed" sheetId="3" r:id="R76c8b294242b422c"/>
    <x:sheet xmlns:r="http://schemas.openxmlformats.org/officeDocument/2006/relationships" name="R&amp;D Adjustment" sheetId="4" r:id="Rbe16248cb23f48b6"/>
    <x:sheet xmlns:r="http://schemas.openxmlformats.org/officeDocument/2006/relationships" name="Source Data" sheetId="5" r:id="R6639a1200a8c405f"/>
    <x:sheet xmlns:r="http://schemas.openxmlformats.org/officeDocument/2006/relationships" name="Sources &amp; Audit" sheetId="6" r:id="R3dc1173b07804081"/>
    <x:sheet xmlns:r="http://schemas.openxmlformats.org/officeDocument/2006/relationships" name="Checks" sheetId="7" r:id="R59ed26650d774f55"/>
  </x:sheets>
</x:workbook>
</file>

<file path=xl/comments1.xml><?xml version="1.0" encoding="utf-8"?>
<x:comments xmlns:x="http://schemas.openxmlformats.org/spreadsheetml/2006/main">
  <x:authors>
    <x:author>tc={019058A3-5ABF-2DF2-5F78-466F0D06C68A}</x:author>
  </x:authors>
  <x:commentList>
    <x:comment ref="B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Analyst assumption. The 21% normalized tax rate is applied consistently to R&amp;D-adjusted EBIT for ROIC. Replace it with your long-run marginal cash tax rate if your underwriting differs.</x:t>
        </x:r>
      </x:text>
    </x:comment>
  </x:commentList>
</x:comments>
</file>

<file path=xl/comments2.xml><?xml version="1.0" encoding="utf-8"?>
<x:comments xmlns:x="http://schemas.openxmlformats.org/spreadsheetml/2006/main">
  <x:authors>
    <x:author>tc={2A4EF529-1E61-A9AE-DF3B-3678283022BA}</x:author>
    <x:author>tc={0B59A761-217D-00BD-6C04-7A505DF464CF}</x:author>
    <x:author>tc={A45D6F03-3A46-D0F4-1428-4CF9B00DD65F}</x:author>
    <x:author>tc={8B680947-B2B3-C668-B71C-0152E09B1B96}</x:author>
    <x:author>tc={23AADB1A-CF6D-1D0B-4FFF-E0B1C62B624F}</x:author>
    <x:author>tc={568992BE-0B31-65B0-E81B-F1DA8562D33E}</x:author>
    <x:author>tc={30FA36A7-3313-7A5C-2BE1-1C62DE099DAA}</x:author>
    <x:author>tc={FF7B62F7-B5DA-7617-8F99-A7A7CC1398A1}</x:author>
    <x:author>tc={85A14F1B-C8B0-27F2-EA61-B2CD7419164C}</x:author>
    <x:author>tc={D8368952-95B9-CB1C-2F43-C60A394D51A9}</x:author>
    <x:author>tc={442C1104-6740-69FA-A5B3-90C9D70BAEEC}</x:author>
    <x:author>tc={01C27351-D89F-828F-3EB1-32603B30A793}</x:author>
    <x:author>tc={F3893F31-1995-1775-D183-6582BCF0497E}</x:author>
    <x:author>tc={C78534C3-9C43-F493-0786-63A1BD4EA59A}</x:author>
    <x:author>tc={0ECECF1C-99C2-36DB-0AE6-C00FD99FC127}</x:author>
    <x:author>tc={E2C2C892-085E-1C1A-8CBD-36FA3939D0DE}</x:author>
    <x:author>tc={C56FE2A2-081E-DA94-3EC2-03CAFC0B8DE5}</x:author>
    <x:author>tc={B8413885-6C8A-3017-8057-22FCA1F76E57}</x:author>
    <x:author>tc={5221AADF-6BF8-AB34-913E-AA25A4DAB20D}</x:author>
    <x:author>tc={AADAD9CC-96ED-2AB6-D861-BA019F88B3EB}</x:author>
    <x:author>tc={F363F75F-918C-3AF3-918F-A6F71CDEDDBF}</x:author>
    <x:author>tc={18B65BBE-E994-2B20-8F82-2841B20A779F}</x:author>
    <x:author>tc={232EE847-3B7F-337B-CA2C-3FF6DB6D69E4}</x:author>
    <x:author>tc={E420AD6E-FF36-D122-11B7-D5EFFE99E71C}</x:author>
    <x:author>tc={ACE22116-C64C-1E57-9BFA-D64180B4F4EC}</x:author>
    <x:author>tc={5277D5C5-3080-F0D4-0AED-43CA61F41E78}</x:author>
    <x:author>tc={6A717D59-5E4C-EC6F-EA68-6E184B66361F}</x:author>
    <x:author>tc={E5FAFC50-F447-C45D-4450-12247AE54FCA}</x:author>
    <x:author>tc={10C18B21-1C7B-81D8-1A1B-2C58CF85B85B}</x:author>
    <x:author>tc={D882186C-D26D-776B-666B-C62C6DF4C440}</x:author>
    <x:author>tc={B5269F6E-10D3-88C5-5408-6462778DE23D}</x:author>
    <x:author>tc={08D6A410-DDF7-7564-009E-57DADD5BA610}</x:author>
    <x:author>tc={1A17CB28-7784-2F38-CD21-A2F5418E8A5C}</x:author>
    <x:author>tc={8323CFBA-415A-E4A9-840E-073E7A585EF8}</x:author>
    <x:author>tc={7B5ADB47-9194-A967-20C1-1808D8A5E379}</x:author>
    <x:author>tc={E3AE1A82-5F81-A159-3435-6A7B4043B3E5}</x:author>
    <x:author>tc={9F459093-18B0-35D9-5406-249C068A516A}</x:author>
    <x:author>tc={1930A02D-206D-5176-39AF-A373D2B8C6A1}</x:author>
    <x:author>tc={1F835088-BCD8-D786-CA37-79C183837EE4}</x:author>
    <x:author>tc={EECEF064-C947-1D8F-5783-875B07ADBDF6}</x:author>
    <x:author>tc={16249C23-A2A5-647E-6A6D-F241CC55B117}</x:author>
    <x:author>tc={593D8B42-245B-ED1C-F935-FC948D57B199}</x:author>
    <x:author>tc={1974143D-610B-7153-4371-79464B5F2E8F}</x:author>
    <x:author>tc={850CD4AB-2868-2BBF-1598-5A3A26596419}</x:author>
    <x:author>tc={497757A1-B005-D85E-0A75-C058CF6B890B}</x:author>
    <x:author>tc={F8583C60-5859-4808-B998-3F74DF9D48FA}</x:author>
    <x:author>tc={FEE7C126-1C23-BE59-BC01-295EBB5912C3}</x:author>
    <x:author>tc={436B3C46-3F60-858A-00EF-045287E2382C}</x:author>
    <x:author>tc={EBF68883-BBA6-BAF0-1001-D4B8F29EE53D}</x:author>
    <x:author>tc={CC0CE7C6-3095-9AFB-0A5D-170BFCAEEB4B}</x:author>
    <x:author>tc={135811C6-358D-3B14-9432-FDE2808194A4}</x:author>
    <x:author>tc={349A727E-74E4-3535-D4EE-F2124E0301EF}</x:author>
    <x:author>tc={E1D27F54-5FA5-874C-51AD-2F6FDB987574}</x:author>
    <x:author>tc={639C0884-56DE-DB9A-E9A1-9CCEF8D5F279}</x:author>
    <x:author>tc={26B8A522-27D5-197C-F9F6-E51DAB4A911B}</x:author>
    <x:author>tc={9FF5B0F7-E2AC-8E75-B0DB-F8A6490A7A18}</x:author>
    <x:author>tc={B83259DB-6E21-A590-2949-85C2F5D2A309}</x:author>
    <x:author>tc={F75CF423-B2D4-1A9C-2532-91A606EE4B60}</x:author>
    <x:author>tc={E9B8E7C4-375D-CC5B-B1F2-28FD5E510E12}</x:author>
    <x:author>tc={252EA62A-F69D-88EF-C0A7-259725CA0F2C}</x:author>
    <x:author>tc={B490D921-727C-668F-43AA-C8DC69CC937B}</x:author>
    <x:author>tc={A4A6FAE8-7C4C-2A1E-46B6-B23B94B7FB0F}</x:author>
    <x:author>tc={F6E0E6B5-585D-E56C-744C-07C5AC5EDD69}</x:author>
    <x:author>tc={62D29715-B0A4-4DDB-C0D1-99873F1F9343}</x:author>
    <x:author>tc={E31E4FE3-7F46-173B-DC2A-A2054ACF2F43}</x:author>
    <x:author>tc={A775CED7-AC7F-A0AA-2D88-B1B8927BA734}</x:author>
    <x:author>tc={63F7D4D6-6316-17E6-F21C-67B81913FD1E}</x:author>
    <x:author>tc={121FB62E-F71F-F8C8-2B68-EC0D3D4271B4}</x:author>
    <x:author>tc={BA9739F9-B92F-1B81-A29C-8D8088E750A5}</x:author>
    <x:author>tc={CD639E62-AABD-F29E-34EC-E116D6721F26}</x:author>
    <x:author>tc={D0081B04-A914-4810-10AB-9F909D6F277D}</x:author>
    <x:author>tc={4EE62ABA-7811-53C8-D6D0-76195893CEF5}</x:author>
    <x:author>tc={E978D77D-FD30-7758-119D-DB09CC78052C}</x:author>
    <x:author>tc={E6D25E0D-5851-A26A-059A-6ECACB551C61}</x:author>
    <x:author>tc={F907F456-2507-040D-B7E6-B8C7E0359033}</x:author>
    <x:author>tc={B8E2BD0F-1671-CA9A-CD35-F0041267DD2C}</x:author>
    <x:author>tc={117EFE52-06D9-7F3B-349F-BD7F5FB04277}</x:author>
    <x:author>tc={A1C15230-BE74-8C08-5739-DF5244F0EF24}</x:author>
    <x:author>tc={FE1BF5D7-7A54-20B0-6087-6BA5E34BB8C3}</x:author>
    <x:author>tc={178E0655-1D0E-4EF1-ADF7-B2A812C2705E}</x:author>
    <x:author>tc={2DCC9344-B568-1AEA-5CCA-15EFF0D8B7E9}</x:author>
    <x:author>tc={444AD25F-128D-B838-DC30-999E43E07B5F}</x:author>
    <x:author>tc={F92B29CF-24AE-A1D8-D53E-DA4A86AB3005}</x:author>
    <x:author>tc={E417956B-204E-BECE-5F03-B2825ECEBD3C}</x:author>
    <x:author>tc={3A14CB1F-6A2B-0FE5-36E6-DFC3B7239B0C}</x:author>
    <x:author>tc={1E9BB259-920E-310C-6277-839A659F722C}</x:author>
    <x:author>tc={13C18706-2612-39AD-328F-E6BFAD2083AD}</x:author>
    <x:author>tc={47E7C27B-3DB3-BF35-FBF2-8BD72A51779E}</x:author>
    <x:author>tc={A000084B-B576-0C98-3A04-CC3DE686E30C}</x:author>
    <x:author>tc={F404CEFD-5FEC-5966-4F80-FC1BE7CAD590}</x:author>
    <x:author>tc={AB6CB5BB-FCE4-65A3-FD1E-5EDE09F5B8AE}</x:author>
    <x:author>tc={1B19ECD5-DE95-9C2D-5AED-83195EA349D6}</x:author>
    <x:author>tc={7E8CE900-62FE-0850-EC9E-3088D17F8175}</x:author>
    <x:author>tc={D4FB08AF-C124-5E94-71EB-EC884669C3A4}</x:author>
    <x:author>tc={5C832CAC-1627-EFE2-F724-0E5661E9661A}</x:author>
    <x:author>tc={6276B366-4505-60F5-6613-6205240E145C}</x:author>
    <x:author>tc={C6E86D7D-503E-7547-723A-20024ADD68FF}</x:author>
    <x:author>tc={3984EAD6-F3DC-4CFF-E4F8-E1FBFBCBB139}</x:author>
    <x:author>tc={49BAA7BB-400D-C041-C945-C91680841D24}</x:author>
    <x:author>tc={DEDD283C-9690-5F41-8D4D-0C2319EAFDF5}</x:author>
    <x:author>tc={8DB5F6B3-9CB0-356F-0491-4622ED66BCF0}</x:author>
    <x:author>tc={B6E39D67-D61A-B2AF-7C33-7CF98833779A}</x:author>
    <x:author>tc={32FBC268-C4C6-563F-72D0-87AAB72CD93B}</x:author>
    <x:author>tc={5C8C409D-780D-FF91-AD41-7B2EF4E8AC3A}</x:author>
    <x:author>tc={0B69E4D4-6DF2-564A-CEFE-CBD5C4B6D8EE}</x:author>
    <x:author>tc={C16F7C4A-FC55-DD74-48A1-B92D67A74D3E}</x:author>
    <x:author>tc={326CEEB8-E5C6-C4D4-5D02-1B111B182DDF}</x:author>
    <x:author>tc={F9F91871-FD8F-2185-27E4-2C4777E4EEE8}</x:author>
    <x:author>tc={BF6B8806-03F2-5D6A-8A60-E63E37D2B7C3}</x:author>
    <x:author>tc={6AA752DB-54E3-AA92-9768-6D18829E88B7}</x:author>
    <x:author>tc={9EB7DAE6-BAEE-A49D-BE3F-E56E82A422B6}</x:author>
    <x:author>tc={DB7DF8F9-4364-EA30-067A-BB97CA4F5D8E}</x:author>
    <x:author>tc={5A2CAE2D-70B7-DBD0-A215-419E420209B3}</x:author>
    <x:author>tc={E14DA634-D6E6-E01C-B533-3FF6BF9A7678}</x:author>
    <x:author>tc={AE9B96B8-FC25-F40C-C721-71A02FB4CC91}</x:author>
    <x:author>tc={A2000EE0-F4F3-A778-5F92-AD4B1950BED4}</x:author>
    <x:author>tc={7EB459CD-A945-3627-811B-D3F278FA6579}</x:author>
    <x:author>tc={BB187AE8-1ED3-4099-786D-6C34BE239539}</x:author>
    <x:author>tc={4CA0F6E3-0D37-07F6-DC63-23D6A0F03AEA}</x:author>
    <x:author>tc={832E4297-F5E7-FBBD-4AAC-96D9C391A259}</x:author>
    <x:author>tc={71AFFA9D-BAC4-51E4-7740-9BD5D135CFFB}</x:author>
    <x:author>tc={EE76953E-ACA6-7ED5-11E2-0F65E0B686D6}</x:author>
    <x:author>tc={9A449D19-683E-E9F3-A468-665776C17A80}</x:author>
    <x:author>tc={5F8B00F7-AF9A-4C5B-F985-88A9B408F42F}</x:author>
    <x:author>tc={BA5117CE-2642-BD97-9DB9-6746D7B07529}</x:author>
    <x:author>tc={F50A9A87-689F-B4BD-C269-52B86964EAE9}</x:author>
    <x:author>tc={39FB3A02-78B3-FFD8-29C0-BCB65381B31A}</x:author>
    <x:author>tc={F0FB8BCD-B559-C01A-1545-934D3F11C0DE}</x:author>
    <x:author>tc={87520223-DEAE-8FA4-61A6-7FA7FD727CC3}</x:author>
    <x:author>tc={A609C156-01D0-0499-1469-ACC8A56C6234}</x:author>
    <x:author>tc={97765E44-139D-1948-B351-820FD7D5E443}</x:author>
    <x:author>tc={78D0DECD-7E97-28C3-8862-C00B4FE21671}</x:author>
    <x:author>tc={1F50A161-F35D-A8EF-87C7-81590E755E2A}</x:author>
    <x:author>tc={6DD494D6-27F9-5B2D-CDCD-AA716F060FB0}</x:author>
    <x:author>tc={3B87CD99-801F-2DD9-72ED-07415B3C394D}</x:author>
    <x:author>tc={551B7323-354A-5A47-FC5F-D58D21AC9052}</x:author>
    <x:author>tc={02D01E37-6D9C-EF3A-AD05-2DAC5E671593}</x:author>
    <x:author>tc={AB5E9EAF-653F-7365-4C74-D3572FB6D885}</x:author>
    <x:author>tc={D80FDA66-014A-B33F-493A-A6D0056AE080}</x:author>
    <x:author>tc={6D0CA342-BC93-DC40-A79D-B21B4354B1AE}</x:author>
    <x:author>tc={6FAB54B5-B47B-5CDA-DD3D-DEC148FAA0C8}</x:author>
    <x:author>tc={D4457EEB-A049-CDC4-622D-2F766AABC2BE}</x:author>
    <x:author>tc={F6BCAE4E-6BD7-15A0-78AB-373E65FE77BF}</x:author>
    <x:author>tc={99B957DE-8626-A17B-A72B-80182DBB6699}</x:author>
    <x:author>tc={E422B82F-4446-FEBC-71F5-3BAA34F7DEB9}</x:author>
    <x:author>tc={77D93401-A033-27AB-05F4-6DCD8E48573F}</x:author>
    <x:author>tc={38541C44-01E1-0948-D38B-71E3B29A9F81}</x:author>
    <x:author>tc={78C650E0-42B8-65FE-8845-BBDF60907B96}</x:author>
    <x:author>tc={0B659679-B204-1C1B-9F76-455B81D1ABC9}</x:author>
    <x:author>tc={15F0C31A-F974-1ECC-BF59-D4646DA2A18B}</x:author>
    <x:author>tc={40BC718D-F839-BC0F-D78B-04CAB4BEBC1B}</x:author>
    <x:author>tc={DEA018C2-C431-6299-4C1B-70B0F6BD76C6}</x:author>
    <x:author>tc={EF7B39AA-3BE9-9CC9-D389-421DA8DDF0F4}</x:author>
    <x:author>tc={E9761A3E-A35A-91B6-2746-61A48933F258}</x:author>
    <x:author>tc={B5F655D8-7E82-D758-D484-3678B81DC42F}</x:author>
    <x:author>tc={297654AF-8AFF-0306-E9EE-161BC160656E}</x:author>
    <x:author>tc={BFB77CFA-E660-A561-CF8E-AF49C91B453C}</x:author>
    <x:author>tc={86ED363E-ED71-547F-AB34-F4DB84821285}</x:author>
    <x:author>tc={F8C885EE-AEEC-13CD-97E2-853314E18E60}</x:author>
    <x:author>tc={066029F9-B3D2-B9FF-4216-C5CBBA5E36EC}</x:author>
    <x:author>tc={BE2BBFA8-BAE8-6AE2-7530-7CF9B9C96281}</x:author>
    <x:author>tc={E7F4D5BE-5046-5E9D-1385-4858C834F036}</x:author>
    <x:author>tc={DE487ECC-148A-05FE-7AD7-637971803783}</x:author>
    <x:author>tc={FB523DE6-7821-976D-C2CA-935A065BC851}</x:author>
    <x:author>tc={7E07BD93-9408-897D-FA7C-24D2B9A74B85}</x:author>
    <x:author>tc={A623FD11-2FAE-953C-CB77-FB71E3362B25}</x:author>
    <x:author>tc={720C7096-4E93-27BB-9A81-78B0C8DB7611}</x:author>
    <x:author>tc={6C82DBB7-59AA-C3B8-2105-FD546F93A040}</x:author>
    <x:author>tc={3B57D2FA-7037-FCC7-45ED-2AE6FC28814E}</x:author>
    <x:author>tc={1A04EA10-9747-ECA2-B225-772662595F76}</x:author>
    <x:author>tc={E223B565-F7DD-8EF7-33C8-F10AAB0E6842}</x:author>
    <x:author>tc={CB6AACFB-95BE-8C8C-D1DA-7EBF848CF291}</x:author>
    <x:author>tc={2D1B7EDF-A985-C20E-198C-63BE121D8324}</x:author>
    <x:author>tc={B6064E30-C0A4-B60D-AEF5-77524C4DE695}</x:author>
    <x:author>tc={025F1582-7E80-4D34-59DF-69190E912682}</x:author>
    <x:author>tc={1B8DA5A7-7A55-B76F-FF1B-0AEAB0FF0524}</x:author>
  </x:authors>
  <x:commentList>
    <x:comment ref="C1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SRC-002 | SEC 10-K | Filed 2021-03-01 | XBRL: Assets | FY2019
https://www.sec.gov/Archives/edgar/data/1561550/000156459021009770/0001564590-21-009770-index.html</x:t>
        </x:r>
      </x:text>
    </x:comment>
    <x:comment ref="C1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SRC-002 | SEC 10-K | Filed 2021-03-01 | XBRL: Liabilities | FY2019
https://www.sec.gov/Archives/edgar/data/1561550/000156459021009770/0001564590-21-009770-index.html</x:t>
        </x:r>
      </x:text>
    </x:comment>
    <x:comment ref="C1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SRC-002 | SEC 10-K | Filed 2021-03-01 | XBRL: LiabilitiesAndStockholdersEquity | FY2019
https://www.sec.gov/Archives/edgar/data/1561550/000156459021009770/0001564590-21-009770-index.html</x:t>
        </x:r>
      </x:text>
    </x:comment>
    <x:comment ref="C1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SRC-002 | SEC 10-K | Filed 2021-03-01 | XBRL: LiabilitiesCurrent | FY2019
https://www.sec.gov/Archives/edgar/data/1561550/000156459021009770/0001564590-21-009770-index.html</x:t>
        </x:r>
      </x:text>
    </x:comment>
    <x:comment ref="C1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StockholdersEquity | FY2019
https://www.sec.gov/Archives/edgar/data/1561550/000156155023000006/0001561550-23-000006-index.html</x:t>
        </x:r>
      </x:text>
    </x:comment>
    <x:comment ref="C1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CashAndCashEquivalentsAtCarryingValue | FY2019
https://www.sec.gov/Archives/edgar/data/1561550/000156155022000009/0001561550-22-000009-index.html</x:t>
        </x:r>
      </x:text>
    </x:comment>
    <x:comment ref="C18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SRC-002 | SEC 10-K | Filed 2021-03-01 | XBRL: AvailableForSaleSecuritiesDebtSecuritiesCurrent | FY2019
https://www.sec.gov/Archives/edgar/data/1561550/000156459021009770/0001564590-21-009770-index.html</x:t>
        </x:r>
      </x:text>
    </x:comment>
    <x:comment ref="C19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gap: Convertible debt — current was not separately tagged in SEC Companyfacts for FY2019. The source cell is left blank; model SUM formulas treat the blank as zero only where no separate balance was reported.</x:t>
        </x:r>
      </x:text>
    </x:comment>
    <x:comment ref="C20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gap: Convertible debt — non-current was not separately tagged in SEC Companyfacts for FY2019. The source cell is left blank; model SUM formulas treat the blank as zero only where no separate balance was reported.</x:t>
        </x:r>
      </x:text>
    </x:comment>
    <x:comment ref="C2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SRC-002 | SEC 10-K | Filed 2021-03-01 | XBRL: OperatingLeaseLiabilityCurrent | FY2019
https://www.sec.gov/Archives/edgar/data/1561550/000156459021009770/0001564590-21-009770-index.html</x:t>
        </x:r>
      </x:text>
    </x:comment>
    <x:comment ref="C22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SRC-002 | SEC 10-K | Filed 2021-03-01 | XBRL: OperatingLeaseLiabilityNoncurrent | FY2019
https://www.sec.gov/Archives/edgar/data/1561550/000156459021009770/0001564590-21-009770-index.html</x:t>
        </x:r>
      </x:text>
    </x:comment>
    <x:comment ref="C23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SRC-002 | SEC 10-K | Filed 2021-03-01 | XBRL: ContractWithCustomerLiabilityCurrent | FY2019
https://www.sec.gov/Archives/edgar/data/1561550/000156459021009770/0001564590-21-009770-index.html</x:t>
        </x:r>
      </x:text>
    </x:comment>
    <x:comment ref="C24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SRC-002 | SEC 10-K | Filed 2021-03-01 | XBRL: ContractWithCustomerLiabilityNoncurrent | FY2019
https://www.sec.gov/Archives/edgar/data/1561550/000156459021009770/0001564590-21-009770-index.html</x:t>
        </x:r>
      </x:text>
    </x:comment>
    <x:comment ref="C25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SRC-002 | SEC 10-K | Filed 2021-03-01 | XBRL: Goodwill | FY2019
https://www.sec.gov/Archives/edgar/data/1561550/000156459021009770/0001564590-21-009770-index.html</x:t>
        </x:r>
      </x:text>
    </x:comment>
    <x:comment ref="C26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SRC-002 | SEC 10-K | Filed 2021-03-01 | XBRL: FiniteLivedIntangibleAssetsNet | FY2019
https://www.sec.gov/Archives/edgar/data/1561550/000156459021009770/0001564590-21-009770-index.html</x:t>
        </x:r>
      </x:text>
    </x:comment>
    <x:comment ref="C27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SRC-002 | SEC 10-K | Filed 2021-03-01 | XBRL: OperatingLeaseRightOfUseAsset | FY2019
https://www.sec.gov/Archives/edgar/data/1561550/000156459021009770/0001564590-21-009770-index.html</x:t>
        </x:r>
      </x:text>
    </x:comment>
    <x:comment ref="C28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SRC-002 | SEC 10-K | Filed 2021-03-01 | XBRL: PropertyPlantAndEquipmentNet | FY2019
https://www.sec.gov/Archives/edgar/data/1561550/000156459021009770/0001564590-21-009770-index.html</x:t>
        </x:r>
      </x:text>
    </x:comment>
    <x:comment ref="D12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Assets | FY2020
https://www.sec.gov/Archives/edgar/data/1561550/000156155022000009/0001561550-22-000009-index.html</x:t>
        </x:r>
      </x:text>
    </x:comment>
    <x:comment ref="D13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Liabilities | FY2020
https://www.sec.gov/Archives/edgar/data/1561550/000156155022000009/0001561550-22-000009-index.html</x:t>
        </x:r>
      </x:text>
    </x:comment>
    <x:comment ref="D14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LiabilitiesAndStockholdersEquity | FY2020
https://www.sec.gov/Archives/edgar/data/1561550/000156155022000009/0001561550-22-000009-index.html</x:t>
        </x:r>
      </x:text>
    </x:comment>
    <x:comment ref="D15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LiabilitiesCurrent | FY2020
https://www.sec.gov/Archives/edgar/data/1561550/000156155022000009/0001561550-22-000009-index.html</x:t>
        </x:r>
      </x:text>
    </x:comment>
    <x:comment ref="D16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StockholdersEquity | FY2020
https://www.sec.gov/Archives/edgar/data/1561550/000156155024000009/0001561550-24-000009-index.html</x:t>
        </x:r>
      </x:text>
    </x:comment>
    <x:comment ref="D17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CashAndCashEquivalentsAtCarryingValue | FY2020
https://www.sec.gov/Archives/edgar/data/1561550/000156155023000006/0001561550-23-000006-index.html</x:t>
        </x:r>
      </x:text>
    </x:comment>
    <x:comment ref="D18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AvailableForSaleSecuritiesDebtSecuritiesCurrent | FY2020
https://www.sec.gov/Archives/edgar/data/1561550/000156155022000009/0001561550-22-000009-index.html</x:t>
        </x:r>
      </x:text>
    </x:comment>
    <x:comment ref="D19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gap: Convertible debt — current was not separately tagged in SEC Companyfacts for FY2020. The source cell is left blank; model SUM formulas treat the blank as zero only where no separate balance was reported.</x:t>
        </x:r>
      </x:text>
    </x:comment>
    <x:comment ref="D20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ConvertibleLongTermNotesPayable | FY2020
https://www.sec.gov/Archives/edgar/data/1561550/000156155022000009/0001561550-22-000009-index.html</x:t>
        </x:r>
      </x:text>
    </x:comment>
    <x:comment ref="D2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OperatingLeaseLiabilityCurrent | FY2020
https://www.sec.gov/Archives/edgar/data/1561550/000156155022000009/0001561550-22-000009-index.html</x:t>
        </x:r>
      </x:text>
    </x:comment>
    <x:comment ref="D22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OperatingLeaseLiabilityNoncurrent | FY2020
https://www.sec.gov/Archives/edgar/data/1561550/000156155022000009/0001561550-22-000009-index.html</x:t>
        </x:r>
      </x:text>
    </x:comment>
    <x:comment ref="D23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ContractWithCustomerLiabilityCurrent | FY2020
https://www.sec.gov/Archives/edgar/data/1561550/000156155022000009/0001561550-22-000009-index.html</x:t>
        </x:r>
      </x:text>
    </x:comment>
    <x:comment ref="D24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ContractWithCustomerLiabilityNoncurrent | FY2020
https://www.sec.gov/Archives/edgar/data/1561550/000156155022000009/0001561550-22-000009-index.html</x:t>
        </x:r>
      </x:text>
    </x:comment>
    <x:comment ref="D25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Goodwill | FY2020
https://www.sec.gov/Archives/edgar/data/1561550/000156155022000009/0001561550-22-000009-index.html</x:t>
        </x:r>
      </x:text>
    </x:comment>
    <x:comment ref="D26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FiniteLivedIntangibleAssetsNet | FY2020
https://www.sec.gov/Archives/edgar/data/1561550/000156155022000009/0001561550-22-000009-index.html</x:t>
        </x:r>
      </x:text>
    </x:comment>
    <x:comment ref="D27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OperatingLeaseRightOfUseAsset | FY2020
https://www.sec.gov/Archives/edgar/data/1561550/000156155022000009/0001561550-22-000009-index.html</x:t>
        </x:r>
      </x:text>
    </x:comment>
    <x:comment ref="D28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PropertyPlantAndEquipmentNet | FY2020
https://www.sec.gov/Archives/edgar/data/1561550/000156155022000009/0001561550-22-000009-index.html</x:t>
        </x:r>
      </x:text>
    </x:comment>
    <x:comment ref="E12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Assets | FY2021
https://www.sec.gov/Archives/edgar/data/1561550/000156155023000006/0001561550-23-000006-index.html</x:t>
        </x:r>
      </x:text>
    </x:comment>
    <x:comment ref="E13" authorId="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Liabilities | FY2021
https://www.sec.gov/Archives/edgar/data/1561550/000156155023000006/0001561550-23-000006-index.html</x:t>
        </x:r>
      </x:text>
    </x:comment>
    <x:comment ref="E14" authorId="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LiabilitiesAndStockholdersEquity | FY2021
https://www.sec.gov/Archives/edgar/data/1561550/000156155023000006/0001561550-23-000006-index.html</x:t>
        </x:r>
      </x:text>
    </x:comment>
    <x:comment ref="E15" authorId="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LiabilitiesCurrent | FY2021
https://www.sec.gov/Archives/edgar/data/1561550/000156155023000006/0001561550-23-000006-index.html</x:t>
        </x:r>
      </x:text>
    </x:comment>
    <x:comment ref="E16" authorId="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StockholdersEquity | FY2021
https://www.sec.gov/Archives/edgar/data/1561550/000156155025000025/0001561550-25-000025-index.html</x:t>
        </x:r>
      </x:text>
    </x:comment>
    <x:comment ref="E17" authorId="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CashAndCashEquivalentsAtCarryingValue | FY2021
https://www.sec.gov/Archives/edgar/data/1561550/000156155024000009/0001561550-24-000009-index.html</x:t>
        </x:r>
      </x:text>
    </x:comment>
    <x:comment ref="E18" authorId="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AvailableForSaleSecuritiesDebtSecuritiesCurrent | FY2021
https://www.sec.gov/Archives/edgar/data/1561550/000156155023000006/0001561550-23-000006-index.html</x:t>
        </x:r>
      </x:text>
    </x:comment>
    <x:comment ref="E19" authorId="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gap: Convertible debt — current was not separately tagged in SEC Companyfacts for FY2021. The source cell is left blank; model SUM formulas treat the blank as zero only where no separate balance was reported.</x:t>
        </x:r>
      </x:text>
    </x:comment>
    <x:comment ref="E20" authorId="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ConvertibleLongTermNotesPayable | FY2021
https://www.sec.gov/Archives/edgar/data/1561550/000156155023000006/0001561550-23-000006-index.html</x:t>
        </x:r>
      </x:text>
    </x:comment>
    <x:comment ref="E21" authorId="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OperatingLeaseLiabilityCurrent | FY2021
https://www.sec.gov/Archives/edgar/data/1561550/000156155023000006/0001561550-23-000006-index.html</x:t>
        </x:r>
      </x:text>
    </x:comment>
    <x:comment ref="E22" authorId="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OperatingLeaseLiabilityNoncurrent | FY2021
https://www.sec.gov/Archives/edgar/data/1561550/000156155023000006/0001561550-23-000006-index.html</x:t>
        </x:r>
      </x:text>
    </x:comment>
    <x:comment ref="E23" authorId="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ContractWithCustomerLiabilityCurrent | FY2021
https://www.sec.gov/Archives/edgar/data/1561550/000156155023000006/0001561550-23-000006-index.html</x:t>
        </x:r>
      </x:text>
    </x:comment>
    <x:comment ref="E24" authorId="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ContractWithCustomerLiabilityNoncurrent | FY2021
https://www.sec.gov/Archives/edgar/data/1561550/000156155023000006/0001561550-23-000006-index.html</x:t>
        </x:r>
      </x:text>
    </x:comment>
    <x:comment ref="E25" authorId="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Goodwill | FY2021
https://www.sec.gov/Archives/edgar/data/1561550/000156155023000006/0001561550-23-000006-index.html</x:t>
        </x:r>
      </x:text>
    </x:comment>
    <x:comment ref="E26" authorId="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FiniteLivedIntangibleAssetsNet | FY2021
https://www.sec.gov/Archives/edgar/data/1561550/000156155023000006/0001561550-23-000006-index.html</x:t>
        </x:r>
      </x:text>
    </x:comment>
    <x:comment ref="E27" authorId="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OperatingLeaseRightOfUseAsset | FY2021
https://www.sec.gov/Archives/edgar/data/1561550/000156155023000006/0001561550-23-000006-index.html</x:t>
        </x:r>
      </x:text>
    </x:comment>
    <x:comment ref="E28" authorId="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PropertyPlantAndEquipmentNet | FY2021
https://www.sec.gov/Archives/edgar/data/1561550/000156155023000006/0001561550-23-000006-index.html</x:t>
        </x:r>
      </x:text>
    </x:comment>
    <x:comment ref="F12" authorId="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Assets | FY2022
https://www.sec.gov/Archives/edgar/data/1561550/000156155024000009/0001561550-24-000009-index.html</x:t>
        </x:r>
      </x:text>
    </x:comment>
    <x:comment ref="F13" authorId="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Liabilities | FY2022
https://www.sec.gov/Archives/edgar/data/1561550/000156155024000009/0001561550-24-000009-index.html</x:t>
        </x:r>
      </x:text>
    </x:comment>
    <x:comment ref="F14" authorId="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LiabilitiesAndStockholdersEquity | FY2022
https://www.sec.gov/Archives/edgar/data/1561550/000156155024000009/0001561550-24-000009-index.html</x:t>
        </x:r>
      </x:text>
    </x:comment>
    <x:comment ref="F15" authorId="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LiabilitiesCurrent | FY2022
https://www.sec.gov/Archives/edgar/data/1561550/000156155024000009/0001561550-24-000009-index.html</x:t>
        </x:r>
      </x:text>
    </x:comment>
    <x:comment ref="F16" authorId="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StockholdersEquity | FY2022
https://www.sec.gov/Archives/edgar/data/1561550/000162828026008819/0001628280-26-008819-index.html</x:t>
        </x:r>
      </x:text>
    </x:comment>
    <x:comment ref="F17" authorId="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CashAndCashEquivalentsAtCarryingValue | FY2022
https://www.sec.gov/Archives/edgar/data/1561550/000156155025000025/0001561550-25-000025-index.html</x:t>
        </x:r>
      </x:text>
    </x:comment>
    <x:comment ref="F18" authorId="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AvailableForSaleSecuritiesDebtSecuritiesCurrent | FY2022
https://www.sec.gov/Archives/edgar/data/1561550/000156155024000009/0001561550-24-000009-index.html</x:t>
        </x:r>
      </x:text>
    </x:comment>
    <x:comment ref="F19" authorId="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gap: Convertible debt — current was not separately tagged in SEC Companyfacts for FY2022. The source cell is left blank; model SUM formulas treat the blank as zero only where no separate balance was reported.</x:t>
        </x:r>
      </x:text>
    </x:comment>
    <x:comment ref="F20" authorId="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ConvertibleLongTermNotesPayable | FY2022
https://www.sec.gov/Archives/edgar/data/1561550/000156155024000009/0001561550-24-000009-index.html</x:t>
        </x:r>
      </x:text>
    </x:comment>
    <x:comment ref="F21" authorId="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OperatingLeaseLiabilityCurrent | FY2022
https://www.sec.gov/Archives/edgar/data/1561550/000156155024000009/0001561550-24-000009-index.html</x:t>
        </x:r>
      </x:text>
    </x:comment>
    <x:comment ref="F22" authorId="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OperatingLeaseLiabilityNoncurrent | FY2022
https://www.sec.gov/Archives/edgar/data/1561550/000156155024000009/0001561550-24-000009-index.html</x:t>
        </x:r>
      </x:text>
    </x:comment>
    <x:comment ref="F23" authorId="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ContractWithCustomerLiabilityCurrent | FY2022
https://www.sec.gov/Archives/edgar/data/1561550/000156155024000009/0001561550-24-000009-index.html</x:t>
        </x:r>
      </x:text>
    </x:comment>
    <x:comment ref="F24" authorId="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ContractWithCustomerLiabilityNoncurrent | FY2022
https://www.sec.gov/Archives/edgar/data/1561550/000156155024000009/0001561550-24-000009-index.html</x:t>
        </x:r>
      </x:text>
    </x:comment>
    <x:comment ref="F25" authorId="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Goodwill | FY2022
https://www.sec.gov/Archives/edgar/data/1561550/000156155024000009/0001561550-24-000009-index.html</x:t>
        </x:r>
      </x:text>
    </x:comment>
    <x:comment ref="F26" authorId="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FiniteLivedIntangibleAssetsNet | FY2022
https://www.sec.gov/Archives/edgar/data/1561550/000156155024000009/0001561550-24-000009-index.html</x:t>
        </x:r>
      </x:text>
    </x:comment>
    <x:comment ref="F27" authorId="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OperatingLeaseRightOfUseAsset | FY2022
https://www.sec.gov/Archives/edgar/data/1561550/000156155024000009/0001561550-24-000009-index.html</x:t>
        </x:r>
      </x:text>
    </x:comment>
    <x:comment ref="F28" authorId="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PropertyPlantAndEquipmentNet | FY2022
https://www.sec.gov/Archives/edgar/data/1561550/000156155024000009/0001561550-24-000009-index.html</x:t>
        </x:r>
      </x:text>
    </x:comment>
    <x:comment ref="G12" authorId="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Assets | FY2023
https://www.sec.gov/Archives/edgar/data/1561550/000156155025000025/0001561550-25-000025-index.html</x:t>
        </x:r>
      </x:text>
    </x:comment>
    <x:comment ref="G13" authorId="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Liabilities | FY2023
https://www.sec.gov/Archives/edgar/data/1561550/000156155025000025/0001561550-25-000025-index.html</x:t>
        </x:r>
      </x:text>
    </x:comment>
    <x:comment ref="G14" authorId="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LiabilitiesAndStockholdersEquity | FY2023
https://www.sec.gov/Archives/edgar/data/1561550/000156155025000025/0001561550-25-000025-index.html</x:t>
        </x:r>
      </x:text>
    </x:comment>
    <x:comment ref="G15" authorId="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LiabilitiesCurrent | FY2023
https://www.sec.gov/Archives/edgar/data/1561550/000156155025000025/0001561550-25-000025-index.html</x:t>
        </x:r>
      </x:text>
    </x:comment>
    <x:comment ref="G16" authorId="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StockholdersEquity | FY2023
https://www.sec.gov/Archives/edgar/data/1561550/000162828026008819/0001628280-26-008819-index.html</x:t>
        </x:r>
      </x:text>
    </x:comment>
    <x:comment ref="G17" authorId="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CashAndCashEquivalentsAtCarryingValue | FY2023
https://www.sec.gov/Archives/edgar/data/1561550/000156155025000025/0001561550-25-000025-index.html</x:t>
        </x:r>
      </x:text>
    </x:comment>
    <x:comment ref="G18" authorId="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AvailableForSaleSecuritiesDebtSecuritiesCurrent | FY2023
https://www.sec.gov/Archives/edgar/data/1561550/000156155025000025/0001561550-25-000025-index.html</x:t>
        </x:r>
      </x:text>
    </x:comment>
    <x:comment ref="G19" authorId="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ConvertibleNotesPayableCurrent | FY2023
https://www.sec.gov/Archives/edgar/data/1561550/000156155025000025/0001561550-25-000025-index.html</x:t>
        </x:r>
      </x:text>
    </x:comment>
    <x:comment ref="G20" authorId="7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ConvertibleLongTermNotesPayable | FY2023
https://www.sec.gov/Archives/edgar/data/1561550/000156155025000025/0001561550-25-000025-index.html</x:t>
        </x:r>
      </x:text>
    </x:comment>
    <x:comment ref="G21" authorId="7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OperatingLeaseLiabilityCurrent | FY2023
https://www.sec.gov/Archives/edgar/data/1561550/000156155025000025/0001561550-25-000025-index.html</x:t>
        </x:r>
      </x:text>
    </x:comment>
    <x:comment ref="G22" authorId="7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OperatingLeaseLiabilityNoncurrent | FY2023
https://www.sec.gov/Archives/edgar/data/1561550/000156155025000025/0001561550-25-000025-index.html</x:t>
        </x:r>
      </x:text>
    </x:comment>
    <x:comment ref="G23" authorId="7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ContractWithCustomerLiabilityCurrent | FY2023
https://www.sec.gov/Archives/edgar/data/1561550/000156155025000025/0001561550-25-000025-index.html</x:t>
        </x:r>
      </x:text>
    </x:comment>
    <x:comment ref="G24" authorId="8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ContractWithCustomerLiabilityNoncurrent | FY2023
https://www.sec.gov/Archives/edgar/data/1561550/000156155025000025/0001561550-25-000025-index.html</x:t>
        </x:r>
      </x:text>
    </x:comment>
    <x:comment ref="G25" authorId="8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Goodwill | FY2023
https://www.sec.gov/Archives/edgar/data/1561550/000156155025000025/0001561550-25-000025-index.html</x:t>
        </x:r>
      </x:text>
    </x:comment>
    <x:comment ref="G26" authorId="8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FiniteLivedIntangibleAssetsNet | FY2023
https://www.sec.gov/Archives/edgar/data/1561550/000156155025000025/0001561550-25-000025-index.html</x:t>
        </x:r>
      </x:text>
    </x:comment>
    <x:comment ref="G27" authorId="8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OperatingLeaseRightOfUseAsset | FY2023
https://www.sec.gov/Archives/edgar/data/1561550/000156155025000025/0001561550-25-000025-index.html</x:t>
        </x:r>
      </x:text>
    </x:comment>
    <x:comment ref="G28" authorId="8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PropertyPlantAndEquipmentNet | FY2023
https://www.sec.gov/Archives/edgar/data/1561550/000156155025000025/0001561550-25-000025-index.html</x:t>
        </x:r>
      </x:text>
    </x:comment>
    <x:comment ref="H12" authorId="8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Assets | FY2024
https://www.sec.gov/Archives/edgar/data/1561550/000162828026008819/0001628280-26-008819-index.html</x:t>
        </x:r>
      </x:text>
    </x:comment>
    <x:comment ref="H13" authorId="8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Liabilities | FY2024
https://www.sec.gov/Archives/edgar/data/1561550/000162828026008819/0001628280-26-008819-index.html</x:t>
        </x:r>
      </x:text>
    </x:comment>
    <x:comment ref="H14" authorId="8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LiabilitiesAndStockholdersEquity | FY2024
https://www.sec.gov/Archives/edgar/data/1561550/000162828026008819/0001628280-26-008819-index.html</x:t>
        </x:r>
      </x:text>
    </x:comment>
    <x:comment ref="H15" authorId="8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LiabilitiesCurrent | FY2024
https://www.sec.gov/Archives/edgar/data/1561550/000162828026008819/0001628280-26-008819-index.html</x:t>
        </x:r>
      </x:text>
    </x:comment>
    <x:comment ref="H16" authorId="8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StockholdersEquity | FY2024
https://www.sec.gov/Archives/edgar/data/1561550/000162828026032328/0001628280-26-032328-index.html</x:t>
        </x:r>
      </x:text>
    </x:comment>
    <x:comment ref="H17" authorId="9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CashAndCashEquivalentsAtCarryingValue | FY2024
https://www.sec.gov/Archives/edgar/data/1561550/000162828026008819/0001628280-26-008819-index.html</x:t>
        </x:r>
      </x:text>
    </x:comment>
    <x:comment ref="H18" authorId="9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AvailableForSaleSecuritiesDebtSecuritiesCurrent | FY2024
https://www.sec.gov/Archives/edgar/data/1561550/000162828026008819/0001628280-26-008819-index.html</x:t>
        </x:r>
      </x:text>
    </x:comment>
    <x:comment ref="H19" authorId="9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ConvertibleNotesPayableCurrent | FY2024
https://www.sec.gov/Archives/edgar/data/1561550/000162828026008819/0001628280-26-008819-index.html</x:t>
        </x:r>
      </x:text>
    </x:comment>
    <x:comment ref="H20" authorId="9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ConvertibleLongTermNotesPayable | FY2024
https://www.sec.gov/Archives/edgar/data/1561550/000162828026008819/0001628280-26-008819-index.html</x:t>
        </x:r>
      </x:text>
    </x:comment>
    <x:comment ref="H21" authorId="9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OperatingLeaseLiabilityCurrent | FY2024
https://www.sec.gov/Archives/edgar/data/1561550/000162828026008819/0001628280-26-008819-index.html</x:t>
        </x:r>
      </x:text>
    </x:comment>
    <x:comment ref="H22" authorId="9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OperatingLeaseLiabilityNoncurrent | FY2024
https://www.sec.gov/Archives/edgar/data/1561550/000162828026008819/0001628280-26-008819-index.html</x:t>
        </x:r>
      </x:text>
    </x:comment>
    <x:comment ref="H23" authorId="9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ContractWithCustomerLiabilityCurrent | FY2024
https://www.sec.gov/Archives/edgar/data/1561550/000162828026008819/0001628280-26-008819-index.html</x:t>
        </x:r>
      </x:text>
    </x:comment>
    <x:comment ref="H24" authorId="9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ContractWithCustomerLiabilityNoncurrent | FY2024
https://www.sec.gov/Archives/edgar/data/1561550/000162828026008819/0001628280-26-008819-index.html</x:t>
        </x:r>
      </x:text>
    </x:comment>
    <x:comment ref="H25" authorId="9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Goodwill | FY2024
https://www.sec.gov/Archives/edgar/data/1561550/000162828026008819/0001628280-26-008819-index.html</x:t>
        </x:r>
      </x:text>
    </x:comment>
    <x:comment ref="H26" authorId="9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FiniteLivedIntangibleAssetsNet | FY2024
https://www.sec.gov/Archives/edgar/data/1561550/000162828026008819/0001628280-26-008819-index.html</x:t>
        </x:r>
      </x:text>
    </x:comment>
    <x:comment ref="H27" authorId="10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OperatingLeaseRightOfUseAsset | FY2024
https://www.sec.gov/Archives/edgar/data/1561550/000162828026008819/0001628280-26-008819-index.html</x:t>
        </x:r>
      </x:text>
    </x:comment>
    <x:comment ref="H28" authorId="10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PropertyPlantAndEquipmentNet | FY2024
https://www.sec.gov/Archives/edgar/data/1561550/000162828026008819/0001628280-26-008819-index.html</x:t>
        </x:r>
      </x:text>
    </x:comment>
    <x:comment ref="I12" authorId="10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Assets | FY2025
https://www.sec.gov/Archives/edgar/data/1561550/000162828026032328/0001628280-26-032328-index.html</x:t>
        </x:r>
      </x:text>
    </x:comment>
    <x:comment ref="I13" authorId="10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Liabilities | FY2025
https://www.sec.gov/Archives/edgar/data/1561550/000162828026032328/0001628280-26-032328-index.html</x:t>
        </x:r>
      </x:text>
    </x:comment>
    <x:comment ref="I14" authorId="10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LiabilitiesAndStockholdersEquity | FY2025
https://www.sec.gov/Archives/edgar/data/1561550/000162828026032328/0001628280-26-032328-index.html</x:t>
        </x:r>
      </x:text>
    </x:comment>
    <x:comment ref="I15" authorId="10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LiabilitiesCurrent | FY2025
https://www.sec.gov/Archives/edgar/data/1561550/000162828026032328/0001628280-26-032328-index.html</x:t>
        </x:r>
      </x:text>
    </x:comment>
    <x:comment ref="I16" authorId="10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StockholdersEquity | FY2025
https://www.sec.gov/Archives/edgar/data/1561550/000162828026032328/0001628280-26-032328-index.html</x:t>
        </x:r>
      </x:text>
    </x:comment>
    <x:comment ref="I17" authorId="10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CashAndCashEquivalentsAtCarryingValue | FY2025
https://www.sec.gov/Archives/edgar/data/1561550/000162828026032328/0001628280-26-032328-index.html</x:t>
        </x:r>
      </x:text>
    </x:comment>
    <x:comment ref="I18" authorId="10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AvailableForSaleSecuritiesDebtSecuritiesCurrent | FY2025
https://www.sec.gov/Archives/edgar/data/1561550/000162828026032328/0001628280-26-032328-index.html</x:t>
        </x:r>
      </x:text>
    </x:comment>
    <x:comment ref="I19" authorId="10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ConvertibleNotesPayableCurrent | FY2025
https://www.sec.gov/Archives/edgar/data/1561550/000162828026008819/0001628280-26-008819-index.html</x:t>
        </x:r>
      </x:text>
    </x:comment>
    <x:comment ref="I20" authorId="1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ConvertibleLongTermNotesPayable | FY2025
https://www.sec.gov/Archives/edgar/data/1561550/000162828026032328/0001628280-26-032328-index.html</x:t>
        </x:r>
      </x:text>
    </x:comment>
    <x:comment ref="I21" authorId="1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OperatingLeaseLiabilityCurrent | FY2025
https://www.sec.gov/Archives/edgar/data/1561550/000162828026032328/0001628280-26-032328-index.html</x:t>
        </x:r>
      </x:text>
    </x:comment>
    <x:comment ref="I22" authorId="1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OperatingLeaseLiabilityNoncurrent | FY2025
https://www.sec.gov/Archives/edgar/data/1561550/000162828026032328/0001628280-26-032328-index.html</x:t>
        </x:r>
      </x:text>
    </x:comment>
    <x:comment ref="I23" authorId="1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ContractWithCustomerLiabilityCurrent | FY2025
https://www.sec.gov/Archives/edgar/data/1561550/000162828026032328/0001628280-26-032328-index.html</x:t>
        </x:r>
      </x:text>
    </x:comment>
    <x:comment ref="I24" authorId="1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ContractWithCustomerLiabilityNoncurrent | FY2025
https://www.sec.gov/Archives/edgar/data/1561550/000162828026032328/0001628280-26-032328-index.html</x:t>
        </x:r>
      </x:text>
    </x:comment>
    <x:comment ref="I25" authorId="1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Goodwill | FY2025
https://www.sec.gov/Archives/edgar/data/1561550/000162828026032328/0001628280-26-032328-index.html</x:t>
        </x:r>
      </x:text>
    </x:comment>
    <x:comment ref="I26" authorId="1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FiniteLivedIntangibleAssetsNet | FY2025
https://www.sec.gov/Archives/edgar/data/1561550/000162828026032328/0001628280-26-032328-index.html</x:t>
        </x:r>
      </x:text>
    </x:comment>
    <x:comment ref="I27" authorId="1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OperatingLeaseRightOfUseAsset | FY2025
https://www.sec.gov/Archives/edgar/data/1561550/000162828026032328/0001628280-26-032328-index.html</x:t>
        </x:r>
      </x:text>
    </x:comment>
    <x:comment ref="I28" authorId="1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PropertyPlantAndEquipmentNet | FY2025
https://www.sec.gov/Archives/edgar/data/1561550/000162828026032328/0001628280-26-032328-index.html</x:t>
        </x:r>
      </x:text>
    </x:comment>
    <x:comment ref="J12" authorId="1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Assets | Q1 2026
https://www.sec.gov/Archives/edgar/data/1561550/000162828026032328/0001628280-26-032328-index.html</x:t>
        </x:r>
      </x:text>
    </x:comment>
    <x:comment ref="J13" authorId="1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Liabilities | Q1 2026
https://www.sec.gov/Archives/edgar/data/1561550/000162828026032328/0001628280-26-032328-index.html</x:t>
        </x:r>
      </x:text>
    </x:comment>
    <x:comment ref="J14" authorId="1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LiabilitiesAndStockholdersEquity | Q1 2026
https://www.sec.gov/Archives/edgar/data/1561550/000162828026032328/0001628280-26-032328-index.html</x:t>
        </x:r>
      </x:text>
    </x:comment>
    <x:comment ref="J15" authorId="1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LiabilitiesCurrent | Q1 2026
https://www.sec.gov/Archives/edgar/data/1561550/000162828026032328/0001628280-26-032328-index.html</x:t>
        </x:r>
      </x:text>
    </x:comment>
    <x:comment ref="J16" authorId="1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StockholdersEquity | Q1 2026
https://www.sec.gov/Archives/edgar/data/1561550/000162828026032328/0001628280-26-032328-index.html</x:t>
        </x:r>
      </x:text>
    </x:comment>
    <x:comment ref="J17" authorId="1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CashAndCashEquivalentsAtCarryingValue | Q1 2026
https://www.sec.gov/Archives/edgar/data/1561550/000162828026032328/0001628280-26-032328-index.html</x:t>
        </x:r>
      </x:text>
    </x:comment>
    <x:comment ref="J18" authorId="1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AvailableForSaleSecuritiesDebtSecuritiesCurrent | Q1 2026
https://www.sec.gov/Archives/edgar/data/1561550/000162828026032328/0001628280-26-032328-index.html</x:t>
        </x:r>
      </x:text>
    </x:comment>
    <x:comment ref="J19" authorId="1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gap: Convertible debt — current was not separately tagged in SEC Companyfacts for Q1 2026. The source cell is left blank; model SUM formulas treat the blank as zero only where no separate balance was reported.</x:t>
        </x:r>
      </x:text>
    </x:comment>
    <x:comment ref="J20" authorId="1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ConvertibleLongTermNotesPayable | Q1 2026
https://www.sec.gov/Archives/edgar/data/1561550/000162828026032328/0001628280-26-032328-index.html</x:t>
        </x:r>
      </x:text>
    </x:comment>
    <x:comment ref="J21" authorId="1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OperatingLeaseLiabilityCurrent | Q1 2026
https://www.sec.gov/Archives/edgar/data/1561550/000162828026032328/0001628280-26-032328-index.html</x:t>
        </x:r>
      </x:text>
    </x:comment>
    <x:comment ref="J22" authorId="1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OperatingLeaseLiabilityNoncurrent | Q1 2026
https://www.sec.gov/Archives/edgar/data/1561550/000162828026032328/0001628280-26-032328-index.html</x:t>
        </x:r>
      </x:text>
    </x:comment>
    <x:comment ref="J23" authorId="1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ContractWithCustomerLiabilityCurrent | Q1 2026
https://www.sec.gov/Archives/edgar/data/1561550/000162828026032328/0001628280-26-032328-index.html</x:t>
        </x:r>
      </x:text>
    </x:comment>
    <x:comment ref="J24" authorId="1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ContractWithCustomerLiabilityNoncurrent | Q1 2026
https://www.sec.gov/Archives/edgar/data/1561550/000162828026032328/0001628280-26-032328-index.html</x:t>
        </x:r>
      </x:text>
    </x:comment>
    <x:comment ref="J25" authorId="1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Goodwill | Q1 2026
https://www.sec.gov/Archives/edgar/data/1561550/000162828026032328/0001628280-26-032328-index.html</x:t>
        </x:r>
      </x:text>
    </x:comment>
    <x:comment ref="J26" authorId="1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FiniteLivedIntangibleAssetsNet | Q1 2026
https://www.sec.gov/Archives/edgar/data/1561550/000162828026032328/0001628280-26-032328-index.html</x:t>
        </x:r>
      </x:text>
    </x:comment>
    <x:comment ref="J27" authorId="1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OperatingLeaseRightOfUseAsset | Q1 2026
https://www.sec.gov/Archives/edgar/data/1561550/000162828026032328/0001628280-26-032328-index.html</x:t>
        </x:r>
      </x:text>
    </x:comment>
    <x:comment ref="J28" authorId="13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PropertyPlantAndEquipmentNet | Q1 2026
https://www.sec.gov/Archives/edgar/data/1561550/000162828026032328/0001628280-26-032328-index.html</x:t>
        </x:r>
      </x:text>
    </x:comment>
    <x:comment ref="C31" authorId="13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RevenueFromContractWithCustomerExcludingAssessedTax | FY2019
https://www.sec.gov/Archives/edgar/data/1561550/000156155022000009/0001561550-22-000009-index.html</x:t>
        </x:r>
      </x:text>
    </x:comment>
    <x:comment ref="C32" authorId="13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OperatingIncomeLoss | FY2019
https://www.sec.gov/Archives/edgar/data/1561550/000156155022000009/0001561550-22-000009-index.html</x:t>
        </x:r>
      </x:text>
    </x:comment>
    <x:comment ref="C33" authorId="13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ResearchAndDevelopmentExpense | FY2019
https://www.sec.gov/Archives/edgar/data/1561550/000156155022000009/0001561550-22-000009-index.html</x:t>
        </x:r>
      </x:text>
    </x:comment>
    <x:comment ref="D31" authorId="13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RevenueFromContractWithCustomerExcludingAssessedTax | FY2020
https://www.sec.gov/Archives/edgar/data/1561550/000156155023000006/0001561550-23-000006-index.html</x:t>
        </x:r>
      </x:text>
    </x:comment>
    <x:comment ref="D32" authorId="14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OperatingIncomeLoss | FY2020
https://www.sec.gov/Archives/edgar/data/1561550/000156155023000006/0001561550-23-000006-index.html</x:t>
        </x:r>
      </x:text>
    </x:comment>
    <x:comment ref="D33" authorId="14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ResearchAndDevelopmentExpense | FY2020
https://www.sec.gov/Archives/edgar/data/1561550/000156155023000006/0001561550-23-000006-index.html</x:t>
        </x:r>
      </x:text>
    </x:comment>
    <x:comment ref="E31" authorId="14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RevenueFromContractWithCustomerExcludingAssessedTax | FY2021
https://www.sec.gov/Archives/edgar/data/1561550/000156155024000009/0001561550-24-000009-index.html</x:t>
        </x:r>
      </x:text>
    </x:comment>
    <x:comment ref="E32" authorId="14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OperatingIncomeLoss | FY2021
https://www.sec.gov/Archives/edgar/data/1561550/000156155024000009/0001561550-24-000009-index.html</x:t>
        </x:r>
      </x:text>
    </x:comment>
    <x:comment ref="E33" authorId="14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ResearchAndDevelopmentExpense | FY2021
https://www.sec.gov/Archives/edgar/data/1561550/000156155024000009/0001561550-24-000009-index.html</x:t>
        </x:r>
      </x:text>
    </x:comment>
    <x:comment ref="F31" authorId="14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RevenueFromContractWithCustomerExcludingAssessedTax | FY2022
https://www.sec.gov/Archives/edgar/data/1561550/000156155025000025/0001561550-25-000025-index.html</x:t>
        </x:r>
      </x:text>
    </x:comment>
    <x:comment ref="F32" authorId="14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OperatingIncomeLoss | FY2022
https://www.sec.gov/Archives/edgar/data/1561550/000156155025000025/0001561550-25-000025-index.html</x:t>
        </x:r>
      </x:text>
    </x:comment>
    <x:comment ref="F33" authorId="14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ResearchAndDevelopmentExpense | FY2022
https://www.sec.gov/Archives/edgar/data/1561550/000156155025000025/0001561550-25-000025-index.html</x:t>
        </x:r>
      </x:text>
    </x:comment>
    <x:comment ref="G31" authorId="14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RevenueFromContractWithCustomerExcludingAssessedTax | FY2023
https://www.sec.gov/Archives/edgar/data/1561550/000162828026008819/0001628280-26-008819-index.html</x:t>
        </x:r>
      </x:text>
    </x:comment>
    <x:comment ref="G32" authorId="14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OperatingIncomeLoss | FY2023
https://www.sec.gov/Archives/edgar/data/1561550/000162828026008819/0001628280-26-008819-index.html</x:t>
        </x:r>
      </x:text>
    </x:comment>
    <x:comment ref="G33" authorId="15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ResearchAndDevelopmentExpense | FY2023
https://www.sec.gov/Archives/edgar/data/1561550/000162828026008819/0001628280-26-008819-index.html</x:t>
        </x:r>
      </x:text>
    </x:comment>
    <x:comment ref="H31" authorId="15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RevenueFromContractWithCustomerExcludingAssessedTax | FY2024
https://www.sec.gov/Archives/edgar/data/1561550/000162828026008819/0001628280-26-008819-index.html</x:t>
        </x:r>
      </x:text>
    </x:comment>
    <x:comment ref="H32" authorId="15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OperatingIncomeLoss | FY2024
https://www.sec.gov/Archives/edgar/data/1561550/000162828026008819/0001628280-26-008819-index.html</x:t>
        </x:r>
      </x:text>
    </x:comment>
    <x:comment ref="H33" authorId="15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ResearchAndDevelopmentExpense | FY2024
https://www.sec.gov/Archives/edgar/data/1561550/000162828026008819/0001628280-26-008819-index.html</x:t>
        </x:r>
      </x:text>
    </x:comment>
    <x:comment ref="I31" authorId="15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RevenueFromContractWithCustomerExcludingAssessedTax | FY2025
https://www.sec.gov/Archives/edgar/data/1561550/000162828026008819/0001628280-26-008819-index.html</x:t>
        </x:r>
      </x:text>
    </x:comment>
    <x:comment ref="I32" authorId="15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OperatingIncomeLoss | FY2025
https://www.sec.gov/Archives/edgar/data/1561550/000162828026008819/0001628280-26-008819-index.html</x:t>
        </x:r>
      </x:text>
    </x:comment>
    <x:comment ref="I33" authorId="15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ResearchAndDevelopmentExpense | FY2025
https://www.sec.gov/Archives/edgar/data/1561550/000162828026008819/0001628280-26-008819-index.html</x:t>
        </x:r>
      </x:text>
    </x:comment>
    <x:comment ref="J31" authorId="15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RevenueFromContractWithCustomerExcludingAssessedTax | Q1 2026
https://www.sec.gov/Archives/edgar/data/1561550/000162828026032328/0001628280-26-032328-index.html</x:t>
        </x:r>
      </x:text>
    </x:comment>
    <x:comment ref="J32" authorId="15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OperatingIncomeLoss | Q1 2026
https://www.sec.gov/Archives/edgar/data/1561550/000162828026032328/0001628280-26-032328-index.html</x:t>
        </x:r>
      </x:text>
    </x:comment>
    <x:comment ref="J33" authorId="15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ResearchAndDevelopmentExpense | Q1 2026
https://www.sec.gov/Archives/edgar/data/1561550/000162828026032328/0001628280-26-032328-index.html</x:t>
        </x:r>
      </x:text>
    </x:comment>
    <x:comment ref="B38" authorId="16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RevenueFromContractWithCustomerExcludingAssessedTax | Q1 2025
https://www.sec.gov/Archives/edgar/data/1561550/000162828026032328/0001628280-26-032328-index.html</x:t>
        </x:r>
      </x:text>
    </x:comment>
    <x:comment ref="B39" authorId="16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OperatingIncomeLoss | Q1 2025
https://www.sec.gov/Archives/edgar/data/1561550/000162828026032328/0001628280-26-032328-index.html</x:t>
        </x:r>
      </x:text>
    </x:comment>
    <x:comment ref="B40" authorId="16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ResearchAndDevelopmentExpense | Q1 2025
https://www.sec.gov/Archives/edgar/data/1561550/000162828026032328/0001628280-26-032328-index.html</x:t>
        </x:r>
      </x:text>
    </x:comment>
    <x:comment ref="C38" authorId="16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RevenueFromContractWithCustomerExcludingAssessedTax | Q1 2026
https://www.sec.gov/Archives/edgar/data/1561550/000162828026032328/0001628280-26-032328-index.html</x:t>
        </x:r>
      </x:text>
    </x:comment>
    <x:comment ref="C39" authorId="16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OperatingIncomeLoss | Q1 2026
https://www.sec.gov/Archives/edgar/data/1561550/000162828026032328/0001628280-26-032328-index.html</x:t>
        </x:r>
      </x:text>
    </x:comment>
    <x:comment ref="C40" authorId="16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ResearchAndDevelopmentExpense | Q1 2026
https://www.sec.gov/Archives/edgar/data/1561550/000162828026032328/0001628280-26-032328-index.html</x:t>
        </x:r>
      </x:text>
    </x:comment>
    <x:comment ref="C45" authorId="16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SRC-001 | SEC 10-K | Filed 2020-02-25 | XBRL: ResearchAndDevelopmentExpense | FY2017
https://www.sec.gov/Archives/edgar/data/1561550/000156459020006422/0001564590-20-006422-index.html</x:t>
        </x:r>
      </x:text>
    </x:comment>
    <x:comment ref="C46" authorId="16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SRC-002 | SEC 10-K | Filed 2021-03-01 | XBRL: ResearchAndDevelopmentExpense | FY2018
https://www.sec.gov/Archives/edgar/data/1561550/000156459021009770/0001564590-21-009770-index.html</x:t>
        </x:r>
      </x:text>
    </x:comment>
    <x:comment ref="C47" authorId="16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SRC-003 | SEC 10-K | Filed 2022-02-25 | XBRL: ResearchAndDevelopmentExpense | FY2019
https://www.sec.gov/Archives/edgar/data/1561550/000156155022000009/0001561550-22-000009-index.html</x:t>
        </x:r>
      </x:text>
    </x:comment>
    <x:comment ref="C48" authorId="16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SRC-004 | SEC 10-K | Filed 2023-02-24 | XBRL: ResearchAndDevelopmentExpense | FY2020
https://www.sec.gov/Archives/edgar/data/1561550/000156155023000006/0001561550-23-000006-index.html</x:t>
        </x:r>
      </x:text>
    </x:comment>
    <x:comment ref="C49" authorId="17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SRC-005 | SEC 10-K | Filed 2024-02-23 | XBRL: ResearchAndDevelopmentExpense | FY2021
https://www.sec.gov/Archives/edgar/data/1561550/000156155024000009/0001561550-24-000009-index.html</x:t>
        </x:r>
      </x:text>
    </x:comment>
    <x:comment ref="C50" authorId="17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SRC-006 | SEC 10-K | Filed 2025-02-20 | XBRL: ResearchAndDevelopmentExpense | FY2022
https://www.sec.gov/Archives/edgar/data/1561550/000156155025000025/0001561550-25-000025-index.html</x:t>
        </x:r>
      </x:text>
    </x:comment>
    <x:comment ref="C51" authorId="17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ResearchAndDevelopmentExpense | FY2023
https://www.sec.gov/Archives/edgar/data/1561550/000162828026008819/0001628280-26-008819-index.html</x:t>
        </x:r>
      </x:text>
    </x:comment>
    <x:comment ref="C52" authorId="17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ResearchAndDevelopmentExpense | FY2024
https://www.sec.gov/Archives/edgar/data/1561550/000162828026008819/0001628280-26-008819-index.html</x:t>
        </x:r>
      </x:text>
    </x:comment>
    <x:comment ref="C53" authorId="17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SRC-007 | SEC 10-K | Filed 2026-02-18 | XBRL: ResearchAndDevelopmentExpense | FY2025
https://www.sec.gov/Archives/edgar/data/1561550/000162828026008819/0001628280-26-008819-index.html</x:t>
        </x:r>
      </x:text>
    </x:comment>
    <x:comment ref="C54" authorId="17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SRC-008 | SEC 10-Q | Filed 2026-05-07 | XBRL: ResearchAndDevelopmentExpense | Q1 2026
https://www.sec.gov/Archives/edgar/data/1561550/000162828026032328/0001628280-26-032328-index.html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;[Red](0.0%);-"/>
    <x:numFmt numFmtId="201" formatCode="0"/>
    <x:numFmt numFmtId="202" formatCode="yyyy-mm-dd"/>
    <x:numFmt numFmtId="203" formatCode="$#,##0.0;[Red]($#,##0.0);-"/>
    <x:numFmt numFmtId="204" formatCode="0.00"/>
    <x:numFmt numFmtId="205" formatCode="#,##0.0;[Red](#,##0.0);-"/>
  </x:numFmts>
  <x:fonts count="2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1F33"/>
      <x:name val="Carlito"/>
    </x:font>
    <x:font>
      <x:sz val="11"/>
      <x:color rgb="FF0000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b/>
      <x:sz val="11"/>
      <x:color rgb="FF008000"/>
      <x:name val="Carlito"/>
    </x:font>
    <x:font>
      <x:i/>
      <x:sz val="11"/>
      <x:color rgb="FFB7791F"/>
      <x:name val="Carlito"/>
    </x:font>
    <x:font>
      <x:i/>
      <x:sz val="11"/>
      <x:color rgb="FF0B1F33"/>
      <x:name val="Carlito"/>
    </x:font>
    <x:font>
      <x:b/>
      <x:sz val="18"/>
      <x:color rgb="FF0B1F33"/>
      <x:name val="Carlito"/>
    </x:font>
    <x:font>
      <x:sz val="11"/>
      <x:color rgb="FF0B1F33"/>
      <x:name val="Carlito"/>
    </x:font>
    <x:font>
      <x:b/>
      <x:sz val="18"/>
      <x:color rgb="FFFFFFFF"/>
      <x:name val="Arial"/>
    </x:font>
    <x:font>
      <x:i/>
      <x:sz val="11"/>
      <x:color rgb="FF0B1F33"/>
      <x:name val="Arial"/>
    </x:font>
    <x:font>
      <x:sz val="11"/>
      <x:name val="Arial"/>
    </x:font>
    <x:font>
      <x:b/>
      <x:sz val="11"/>
      <x:color rgb="FF0B1F33"/>
      <x:name val="Arial"/>
    </x:font>
    <x:font>
      <x:b/>
      <x:sz val="18"/>
      <x:color rgb="FF0B1F33"/>
      <x:name val="Arial"/>
    </x:font>
    <x:font>
      <x:b/>
      <x:sz val="11"/>
      <x:color rgb="FFFFFFFF"/>
      <x:name val="Arial"/>
    </x:font>
    <x:font>
      <x:sz val="11"/>
      <x:color rgb="FF0B1F33"/>
      <x:name val="Arial"/>
    </x:font>
    <x:font>
      <x:sz val="11"/>
      <x:color rgb="FF008000"/>
      <x:name val="Arial"/>
    </x:font>
    <x:font>
      <x:i/>
      <x:sz val="11"/>
      <x:color rgb="FFB7791F"/>
      <x:name val="Arial"/>
    </x:font>
    <x:font>
      <x:sz val="11"/>
      <x:color rgb="FF0000FF"/>
      <x:name val="Arial"/>
    </x:font>
    <x:font>
      <x:i/>
      <x:sz val="11"/>
      <x:color rgb="FF667085"/>
      <x:name val="Arial"/>
    </x:font>
    <x:font>
      <x:b/>
      <x:sz val="11"/>
      <x:color rgb="FF008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2F4F7"/>
      </x:patternFill>
    </x:fill>
    <x:fill>
      <x:patternFill patternType="solid">
        <x:fgColor rgb="FF163A5F"/>
      </x:patternFill>
    </x:fill>
    <x:fill>
      <x:patternFill patternType="solid">
        <x:fgColor rgb="FFE6F4F1"/>
      </x:patternFill>
    </x:fill>
    <x:fill>
      <x:patternFill patternType="solid">
        <x:fgColor rgb="FFFFF4CC"/>
      </x:patternFill>
    </x:fill>
  </x:fills>
  <x:borders count="16">
    <x:border/>
    <x:border>
      <x:right style="thin">
        <x:color rgb="FFD0D5DD"/>
      </x:right>
    </x:border>
    <x:border>
      <x:left style="thin">
        <x:color rgb="FFD0D5DD"/>
      </x:left>
      <x:right style="thin">
        <x:color rgb="FFD0D5DD"/>
      </x:right>
    </x:border>
    <x:border>
      <x:left style="thin">
        <x:color rgb="FFD0D5DD"/>
      </x:left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top style="thin">
        <x:color rgb="FF163A5F"/>
      </x:top>
      <x:bottom style="double">
        <x:color rgb="FF163A5F"/>
      </x:bottom>
    </x:border>
    <x:border>
      <x:top style="thin">
        <x:color rgb="FFD0D5DD"/>
      </x:top>
    </x:border>
    <x:border>
      <x:bottom style="thin">
        <x:color rgb="FFD0D5DD"/>
      </x:bottom>
    </x:border>
  </x:borders>
  <x:cellStyleXfs count="1">
    <x:xf numFmtId="0" fontId="0" fillId="0" borderId="0"/>
  </x:cellStyleXfs>
  <x:cellXfs count="3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vertical="center"/>
    </x:xf>
    <x:xf numFmtId="0" fontId="2" fillId="3" borderId="12" xfId="0" applyNumberFormat="1" applyFont="1" applyFill="1" applyBorder="1" applyAlignment="1">
      <x:alignment vertical="center"/>
    </x:xf>
    <x:xf numFmtId="202" fontId="2" fillId="3" borderId="8" xfId="0" applyNumberFormat="1" applyFont="1" applyFill="1" applyBorder="1" applyAlignment="1">
      <x:alignment vertical="center"/>
    </x:xf>
    <x:xf numFmtId="202" fontId="2" fillId="3" borderId="9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3" fontId="2" fillId="3" borderId="8" xfId="0" applyNumberFormat="1" applyFont="1" applyFill="1" applyBorder="1" applyAlignment="1">
      <x:alignment vertical="center"/>
    </x:xf>
    <x:xf numFmtId="203" fontId="2" fillId="3" borderId="9" xfId="0" applyNumberFormat="1" applyFont="1" applyFill="1" applyBorder="1" applyAlignment="1">
      <x:alignment vertical="center"/>
    </x:xf>
    <x:xf numFmtId="203" fontId="2" fillId="3" borderId="11" xfId="0" applyNumberFormat="1" applyFont="1" applyFill="1" applyBorder="1" applyAlignment="1">
      <x:alignment vertical="center"/>
    </x:xf>
    <x:xf numFmtId="203" fontId="2" fillId="3" borderId="12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center"/>
    </x:xf>
    <x:xf numFmtId="0" fontId="9" fillId="3" borderId="6" xfId="0" applyNumberFormat="1" applyFont="1" applyFill="1" applyBorder="1" applyAlignment="1">
      <x:alignment vertical="center"/>
    </x:xf>
    <x:xf numFmtId="0" fontId="9" fillId="3" borderId="8" xfId="0" applyNumberFormat="1" applyFont="1" applyFill="1" applyBorder="1" applyAlignment="1">
      <x:alignment vertical="center"/>
    </x:xf>
    <x:xf numFmtId="0" fontId="9" fillId="3" borderId="9" xfId="0" applyNumberFormat="1" applyFont="1" applyFill="1" applyBorder="1" applyAlignment="1">
      <x:alignment vertical="center"/>
    </x:xf>
    <x:xf numFmtId="203" fontId="9" fillId="3" borderId="8" xfId="0" applyNumberFormat="1" applyFont="1" applyFill="1" applyBorder="1" applyAlignment="1">
      <x:alignment vertical="center"/>
    </x:xf>
    <x:xf numFmtId="203" fontId="9" fillId="3" borderId="9" xfId="0" applyNumberFormat="1" applyFont="1" applyFill="1" applyBorder="1" applyAlignment="1">
      <x:alignment vertical="center"/>
    </x:xf>
    <x:xf numFmtId="203" fontId="9" fillId="3" borderId="11" xfId="0" applyNumberFormat="1" applyFont="1" applyFill="1" applyBorder="1" applyAlignment="1">
      <x:alignment vertical="center"/>
    </x:xf>
    <x:xf numFmtId="203" fontId="9" fillId="3" borderId="12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3" xfId="0" applyNumberFormat="1" applyFont="1" applyFill="1" applyBorder="1"/>
    <x:xf numFmtId="0" fontId="8" fillId="3" borderId="0" xfId="0" applyNumberFormat="1" applyFont="1" applyFill="1" applyBorder="1"/>
    <x:xf numFmtId="0" fontId="8" fillId="3" borderId="13" xfId="0" applyNumberFormat="1" applyFont="1" applyFill="1" applyBorder="1"/>
    <x:xf numFmtId="203" fontId="8" fillId="7" borderId="13" xfId="0" applyNumberFormat="1" applyFont="1" applyFill="1" applyBorder="1"/>
    <x:xf numFmtId="203" fontId="8" fillId="3" borderId="13" xfId="0" applyNumberFormat="1" applyFont="1" applyFill="1" applyBorder="1"/>
    <x:xf numFmtId="202" fontId="2" fillId="3" borderId="11" xfId="0" applyNumberFormat="1" applyFont="1" applyFill="1" applyBorder="1" applyAlignment="1">
      <x:alignment vertical="center"/>
    </x:xf>
    <x:xf numFmtId="202" fontId="2" fillId="3" borderId="12" xfId="0" applyNumberFormat="1" applyFont="1" applyFill="1" applyBorder="1" applyAlignment="1">
      <x:alignment vertical="center"/>
    </x:xf>
    <x:xf numFmtId="202" fontId="9" fillId="3" borderId="11" xfId="0" applyNumberFormat="1" applyFont="1" applyFill="1" applyBorder="1" applyAlignment="1">
      <x:alignment vertical="center"/>
    </x:xf>
    <x:xf numFmtId="202" fontId="9" fillId="3" borderId="12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8" fillId="5" borderId="13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3" fontId="8" fillId="5" borderId="13" xfId="0" applyNumberFormat="1" applyFont="1" applyFill="1" applyBorder="1"/>
    <x:xf numFmtId="203" fontId="5" fillId="6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/>
    <x:xf numFmtId="203" fontId="0" fillId="3" borderId="0" xfId="0" applyNumberFormat="1" applyFont="1" applyFill="1" applyBorder="1"/>
    <x:xf numFmtId="203" fontId="8" fillId="3" borderId="0" xfId="0" applyNumberFormat="1" applyFont="1" applyFill="1" applyBorder="1"/>
    <x:xf numFmtId="200" fontId="0" fillId="7" borderId="0" xfId="0" applyNumberFormat="1" applyFont="1" applyFill="1" applyBorder="1"/>
    <x:xf numFmtId="200" fontId="8" fillId="7" borderId="0" xfId="0" applyNumberFormat="1" applyFont="1" applyFill="1" applyBorder="1"/>
    <x:xf numFmtId="200" fontId="8" fillId="7" borderId="13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6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/>
    <x:xf numFmtId="0" fontId="12" fillId="5" borderId="12" xfId="0" applyNumberFormat="1" applyFont="1" applyFill="1" applyBorder="1"/>
    <x:xf numFmtId="0" fontId="12" fillId="5" borderId="14" xfId="0" applyNumberFormat="1" applyFont="1" applyFill="1" applyBorder="1"/>
    <x:xf numFmtId="0" fontId="12" fillId="5" borderId="10" xfId="0" applyNumberFormat="1" applyFont="1" applyFill="1" applyBorder="1"/>
    <x:xf numFmtId="0" fontId="12" fillId="5" borderId="6" xfId="0" applyNumberFormat="1" applyFont="1" applyFill="1" applyBorder="1"/>
    <x:xf numFmtId="0" fontId="12" fillId="5" borderId="15" xfId="0" applyNumberFormat="1" applyFont="1" applyFill="1" applyBorder="1"/>
    <x:xf numFmtId="0" fontId="12" fillId="5" borderId="4" xfId="0" applyNumberFormat="1" applyFont="1" applyFill="1" applyBorder="1"/>
    <x:xf numFmtId="203" fontId="12" fillId="5" borderId="12" xfId="0" applyNumberFormat="1" applyFont="1" applyFill="1" applyBorder="1"/>
    <x:xf numFmtId="203" fontId="12" fillId="5" borderId="14" xfId="0" applyNumberFormat="1" applyFont="1" applyFill="1" applyBorder="1"/>
    <x:xf numFmtId="203" fontId="12" fillId="5" borderId="10" xfId="0" applyNumberFormat="1" applyFont="1" applyFill="1" applyBorder="1"/>
    <x:xf numFmtId="203" fontId="12" fillId="5" borderId="6" xfId="0" applyNumberFormat="1" applyFont="1" applyFill="1" applyBorder="1"/>
    <x:xf numFmtId="203" fontId="12" fillId="5" borderId="15" xfId="0" applyNumberFormat="1" applyFont="1" applyFill="1" applyBorder="1"/>
    <x:xf numFmtId="203" fontId="12" fillId="5" borderId="4" xfId="0" applyNumberFormat="1" applyFont="1" applyFill="1" applyBorder="1"/>
    <x:xf numFmtId="203" fontId="12" fillId="5" borderId="12" xfId="0" applyNumberFormat="1" applyFont="1" applyFill="1" applyBorder="1" applyAlignment="1">
      <x:alignment horizontal="center"/>
    </x:xf>
    <x:xf numFmtId="203" fontId="12" fillId="5" borderId="14" xfId="0" applyNumberFormat="1" applyFont="1" applyFill="1" applyBorder="1" applyAlignment="1">
      <x:alignment horizontal="center"/>
    </x:xf>
    <x:xf numFmtId="203" fontId="12" fillId="5" borderId="10" xfId="0" applyNumberFormat="1" applyFont="1" applyFill="1" applyBorder="1" applyAlignment="1">
      <x:alignment horizontal="center"/>
    </x:xf>
    <x:xf numFmtId="203" fontId="12" fillId="5" borderId="6" xfId="0" applyNumberFormat="1" applyFont="1" applyFill="1" applyBorder="1" applyAlignment="1">
      <x:alignment horizontal="center"/>
    </x:xf>
    <x:xf numFmtId="203" fontId="12" fillId="5" borderId="15" xfId="0" applyNumberFormat="1" applyFont="1" applyFill="1" applyBorder="1" applyAlignment="1">
      <x:alignment horizontal="center"/>
    </x:xf>
    <x:xf numFmtId="203" fontId="12" fillId="5" borderId="4" xfId="0" applyNumberFormat="1" applyFont="1" applyFill="1" applyBorder="1" applyAlignment="1">
      <x:alignment horizontal="center"/>
    </x:xf>
    <x:xf numFmtId="203" fontId="12" fillId="5" borderId="12" xfId="0" applyNumberFormat="1" applyFont="1" applyFill="1" applyBorder="1" applyAlignment="1">
      <x:alignment horizontal="center" vertical="center"/>
    </x:xf>
    <x:xf numFmtId="203" fontId="12" fillId="5" borderId="14" xfId="0" applyNumberFormat="1" applyFont="1" applyFill="1" applyBorder="1" applyAlignment="1">
      <x:alignment horizontal="center" vertical="center"/>
    </x:xf>
    <x:xf numFmtId="203" fontId="12" fillId="5" borderId="10" xfId="0" applyNumberFormat="1" applyFont="1" applyFill="1" applyBorder="1" applyAlignment="1">
      <x:alignment horizontal="center" vertical="center"/>
    </x:xf>
    <x:xf numFmtId="203" fontId="12" fillId="5" borderId="6" xfId="0" applyNumberFormat="1" applyFont="1" applyFill="1" applyBorder="1" applyAlignment="1">
      <x:alignment horizontal="center" vertical="center"/>
    </x:xf>
    <x:xf numFmtId="203" fontId="12" fillId="5" borderId="15" xfId="0" applyNumberFormat="1" applyFont="1" applyFill="1" applyBorder="1" applyAlignment="1">
      <x:alignment horizontal="center" vertical="center"/>
    </x:xf>
    <x:xf numFmtId="203" fontId="12" fillId="5" borderId="4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12" fillId="7" borderId="0" xfId="0" applyNumberFormat="1" applyFont="1" applyFill="1" applyBorder="1"/>
    <x:xf numFmtId="0" fontId="12" fillId="7" borderId="12" xfId="0" applyNumberFormat="1" applyFont="1" applyFill="1" applyBorder="1"/>
    <x:xf numFmtId="0" fontId="12" fillId="7" borderId="14" xfId="0" applyNumberFormat="1" applyFont="1" applyFill="1" applyBorder="1"/>
    <x:xf numFmtId="0" fontId="12" fillId="7" borderId="10" xfId="0" applyNumberFormat="1" applyFont="1" applyFill="1" applyBorder="1"/>
    <x:xf numFmtId="0" fontId="12" fillId="7" borderId="6" xfId="0" applyNumberFormat="1" applyFont="1" applyFill="1" applyBorder="1"/>
    <x:xf numFmtId="0" fontId="12" fillId="7" borderId="15" xfId="0" applyNumberFormat="1" applyFont="1" applyFill="1" applyBorder="1"/>
    <x:xf numFmtId="0" fontId="12" fillId="7" borderId="4" xfId="0" applyNumberFormat="1" applyFont="1" applyFill="1" applyBorder="1"/>
    <x:xf numFmtId="203" fontId="12" fillId="7" borderId="12" xfId="0" applyNumberFormat="1" applyFont="1" applyFill="1" applyBorder="1"/>
    <x:xf numFmtId="203" fontId="12" fillId="7" borderId="14" xfId="0" applyNumberFormat="1" applyFont="1" applyFill="1" applyBorder="1"/>
    <x:xf numFmtId="203" fontId="12" fillId="7" borderId="10" xfId="0" applyNumberFormat="1" applyFont="1" applyFill="1" applyBorder="1"/>
    <x:xf numFmtId="203" fontId="12" fillId="7" borderId="6" xfId="0" applyNumberFormat="1" applyFont="1" applyFill="1" applyBorder="1"/>
    <x:xf numFmtId="203" fontId="12" fillId="7" borderId="15" xfId="0" applyNumberFormat="1" applyFont="1" applyFill="1" applyBorder="1"/>
    <x:xf numFmtId="203" fontId="12" fillId="7" borderId="4" xfId="0" applyNumberFormat="1" applyFont="1" applyFill="1" applyBorder="1"/>
    <x:xf numFmtId="203" fontId="12" fillId="7" borderId="12" xfId="0" applyNumberFormat="1" applyFont="1" applyFill="1" applyBorder="1" applyAlignment="1">
      <x:alignment horizontal="center"/>
    </x:xf>
    <x:xf numFmtId="203" fontId="12" fillId="7" borderId="14" xfId="0" applyNumberFormat="1" applyFont="1" applyFill="1" applyBorder="1" applyAlignment="1">
      <x:alignment horizontal="center"/>
    </x:xf>
    <x:xf numFmtId="203" fontId="12" fillId="7" borderId="10" xfId="0" applyNumberFormat="1" applyFont="1" applyFill="1" applyBorder="1" applyAlignment="1">
      <x:alignment horizontal="center"/>
    </x:xf>
    <x:xf numFmtId="203" fontId="12" fillId="7" borderId="6" xfId="0" applyNumberFormat="1" applyFont="1" applyFill="1" applyBorder="1" applyAlignment="1">
      <x:alignment horizontal="center"/>
    </x:xf>
    <x:xf numFmtId="203" fontId="12" fillId="7" borderId="15" xfId="0" applyNumberFormat="1" applyFont="1" applyFill="1" applyBorder="1" applyAlignment="1">
      <x:alignment horizontal="center"/>
    </x:xf>
    <x:xf numFmtId="203" fontId="12" fillId="7" borderId="4" xfId="0" applyNumberFormat="1" applyFont="1" applyFill="1" applyBorder="1" applyAlignment="1">
      <x:alignment horizontal="center"/>
    </x:xf>
    <x:xf numFmtId="203" fontId="12" fillId="7" borderId="12" xfId="0" applyNumberFormat="1" applyFont="1" applyFill="1" applyBorder="1" applyAlignment="1">
      <x:alignment horizontal="center" vertical="center"/>
    </x:xf>
    <x:xf numFmtId="203" fontId="12" fillId="7" borderId="14" xfId="0" applyNumberFormat="1" applyFont="1" applyFill="1" applyBorder="1" applyAlignment="1">
      <x:alignment horizontal="center" vertical="center"/>
    </x:xf>
    <x:xf numFmtId="203" fontId="12" fillId="7" borderId="10" xfId="0" applyNumberFormat="1" applyFont="1" applyFill="1" applyBorder="1" applyAlignment="1">
      <x:alignment horizontal="center" vertical="center"/>
    </x:xf>
    <x:xf numFmtId="203" fontId="12" fillId="7" borderId="6" xfId="0" applyNumberFormat="1" applyFont="1" applyFill="1" applyBorder="1" applyAlignment="1">
      <x:alignment horizontal="center" vertical="center"/>
    </x:xf>
    <x:xf numFmtId="203" fontId="12" fillId="7" borderId="15" xfId="0" applyNumberFormat="1" applyFont="1" applyFill="1" applyBorder="1" applyAlignment="1">
      <x:alignment horizontal="center" vertical="center"/>
    </x:xf>
    <x:xf numFmtId="203" fontId="12" fillId="7" borderId="4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2" fillId="3" borderId="0" xfId="0" applyNumberFormat="1" applyFont="1" applyFill="1" applyBorder="1"/>
    <x:xf numFmtId="0" fontId="12" fillId="3" borderId="12" xfId="0" applyNumberFormat="1" applyFont="1" applyFill="1" applyBorder="1"/>
    <x:xf numFmtId="0" fontId="12" fillId="3" borderId="14" xfId="0" applyNumberFormat="1" applyFont="1" applyFill="1" applyBorder="1"/>
    <x:xf numFmtId="0" fontId="12" fillId="3" borderId="10" xfId="0" applyNumberFormat="1" applyFont="1" applyFill="1" applyBorder="1"/>
    <x:xf numFmtId="0" fontId="12" fillId="3" borderId="6" xfId="0" applyNumberFormat="1" applyFont="1" applyFill="1" applyBorder="1"/>
    <x:xf numFmtId="0" fontId="12" fillId="3" borderId="15" xfId="0" applyNumberFormat="1" applyFont="1" applyFill="1" applyBorder="1"/>
    <x:xf numFmtId="0" fontId="12" fillId="3" borderId="4" xfId="0" applyNumberFormat="1" applyFont="1" applyFill="1" applyBorder="1"/>
    <x:xf numFmtId="203" fontId="12" fillId="3" borderId="12" xfId="0" applyNumberFormat="1" applyFont="1" applyFill="1" applyBorder="1"/>
    <x:xf numFmtId="203" fontId="12" fillId="3" borderId="14" xfId="0" applyNumberFormat="1" applyFont="1" applyFill="1" applyBorder="1"/>
    <x:xf numFmtId="203" fontId="12" fillId="3" borderId="10" xfId="0" applyNumberFormat="1" applyFont="1" applyFill="1" applyBorder="1"/>
    <x:xf numFmtId="203" fontId="12" fillId="3" borderId="6" xfId="0" applyNumberFormat="1" applyFont="1" applyFill="1" applyBorder="1"/>
    <x:xf numFmtId="203" fontId="12" fillId="3" borderId="15" xfId="0" applyNumberFormat="1" applyFont="1" applyFill="1" applyBorder="1"/>
    <x:xf numFmtId="203" fontId="12" fillId="3" borderId="4" xfId="0" applyNumberFormat="1" applyFont="1" applyFill="1" applyBorder="1"/>
    <x:xf numFmtId="203" fontId="12" fillId="3" borderId="12" xfId="0" applyNumberFormat="1" applyFont="1" applyFill="1" applyBorder="1" applyAlignment="1">
      <x:alignment horizontal="center"/>
    </x:xf>
    <x:xf numFmtId="203" fontId="12" fillId="3" borderId="14" xfId="0" applyNumberFormat="1" applyFont="1" applyFill="1" applyBorder="1" applyAlignment="1">
      <x:alignment horizontal="center"/>
    </x:xf>
    <x:xf numFmtId="203" fontId="12" fillId="3" borderId="10" xfId="0" applyNumberFormat="1" applyFont="1" applyFill="1" applyBorder="1" applyAlignment="1">
      <x:alignment horizontal="center"/>
    </x:xf>
    <x:xf numFmtId="203" fontId="12" fillId="3" borderId="6" xfId="0" applyNumberFormat="1" applyFont="1" applyFill="1" applyBorder="1" applyAlignment="1">
      <x:alignment horizontal="center"/>
    </x:xf>
    <x:xf numFmtId="203" fontId="12" fillId="3" borderId="15" xfId="0" applyNumberFormat="1" applyFont="1" applyFill="1" applyBorder="1" applyAlignment="1">
      <x:alignment horizontal="center"/>
    </x:xf>
    <x:xf numFmtId="203" fontId="12" fillId="3" borderId="4" xfId="0" applyNumberFormat="1" applyFont="1" applyFill="1" applyBorder="1" applyAlignment="1">
      <x:alignment horizontal="center"/>
    </x:xf>
    <x:xf numFmtId="203" fontId="12" fillId="3" borderId="12" xfId="0" applyNumberFormat="1" applyFont="1" applyFill="1" applyBorder="1" applyAlignment="1">
      <x:alignment horizontal="center" vertical="center"/>
    </x:xf>
    <x:xf numFmtId="203" fontId="12" fillId="3" borderId="14" xfId="0" applyNumberFormat="1" applyFont="1" applyFill="1" applyBorder="1" applyAlignment="1">
      <x:alignment horizontal="center" vertical="center"/>
    </x:xf>
    <x:xf numFmtId="203" fontId="12" fillId="3" borderId="10" xfId="0" applyNumberFormat="1" applyFont="1" applyFill="1" applyBorder="1" applyAlignment="1">
      <x:alignment horizontal="center" vertical="center"/>
    </x:xf>
    <x:xf numFmtId="203" fontId="12" fillId="3" borderId="6" xfId="0" applyNumberFormat="1" applyFont="1" applyFill="1" applyBorder="1" applyAlignment="1">
      <x:alignment horizontal="center" vertical="center"/>
    </x:xf>
    <x:xf numFmtId="203" fontId="12" fillId="3" borderId="15" xfId="0" applyNumberFormat="1" applyFont="1" applyFill="1" applyBorder="1" applyAlignment="1">
      <x:alignment horizontal="center" vertical="center"/>
    </x:xf>
    <x:xf numFmtId="203" fontId="12" fillId="3" borderId="4" xfId="0" applyNumberFormat="1" applyFont="1" applyFill="1" applyBorder="1" applyAlignment="1">
      <x:alignment horizontal="center" vertical="center"/>
    </x:xf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12" fillId="8" borderId="0" xfId="0" applyNumberFormat="1" applyFont="1" applyFill="1" applyBorder="1"/>
    <x:xf numFmtId="0" fontId="12" fillId="8" borderId="12" xfId="0" applyNumberFormat="1" applyFont="1" applyFill="1" applyBorder="1"/>
    <x:xf numFmtId="0" fontId="12" fillId="8" borderId="10" xfId="0" applyNumberFormat="1" applyFont="1" applyFill="1" applyBorder="1"/>
    <x:xf numFmtId="0" fontId="12" fillId="8" borderId="6" xfId="0" applyNumberFormat="1" applyFont="1" applyFill="1" applyBorder="1"/>
    <x:xf numFmtId="0" fontId="12" fillId="8" borderId="4" xfId="0" applyNumberFormat="1" applyFont="1" applyFill="1" applyBorder="1"/>
    <x:xf numFmtId="200" fontId="12" fillId="8" borderId="12" xfId="0" applyNumberFormat="1" applyFont="1" applyFill="1" applyBorder="1"/>
    <x:xf numFmtId="200" fontId="12" fillId="8" borderId="10" xfId="0" applyNumberFormat="1" applyFont="1" applyFill="1" applyBorder="1"/>
    <x:xf numFmtId="200" fontId="12" fillId="8" borderId="6" xfId="0" applyNumberFormat="1" applyFont="1" applyFill="1" applyBorder="1"/>
    <x:xf numFmtId="200" fontId="12" fillId="8" borderId="4" xfId="0" applyNumberFormat="1" applyFont="1" applyFill="1" applyBorder="1"/>
    <x:xf numFmtId="200" fontId="12" fillId="8" borderId="12" xfId="0" applyNumberFormat="1" applyFont="1" applyFill="1" applyBorder="1" applyAlignment="1">
      <x:alignment horizontal="center"/>
    </x:xf>
    <x:xf numFmtId="200" fontId="12" fillId="8" borderId="10" xfId="0" applyNumberFormat="1" applyFont="1" applyFill="1" applyBorder="1" applyAlignment="1">
      <x:alignment horizontal="center"/>
    </x:xf>
    <x:xf numFmtId="200" fontId="12" fillId="8" borderId="6" xfId="0" applyNumberFormat="1" applyFont="1" applyFill="1" applyBorder="1" applyAlignment="1">
      <x:alignment horizontal="center"/>
    </x:xf>
    <x:xf numFmtId="200" fontId="12" fillId="8" borderId="4" xfId="0" applyNumberFormat="1" applyFont="1" applyFill="1" applyBorder="1" applyAlignment="1">
      <x:alignment horizontal="center"/>
    </x:xf>
    <x:xf numFmtId="200" fontId="12" fillId="8" borderId="12" xfId="0" applyNumberFormat="1" applyFont="1" applyFill="1" applyBorder="1" applyAlignment="1">
      <x:alignment horizontal="center" vertical="center"/>
    </x:xf>
    <x:xf numFmtId="200" fontId="12" fillId="8" borderId="10" xfId="0" applyNumberFormat="1" applyFont="1" applyFill="1" applyBorder="1" applyAlignment="1">
      <x:alignment horizontal="center" vertical="center"/>
    </x:xf>
    <x:xf numFmtId="200" fontId="12" fillId="8" borderId="6" xfId="0" applyNumberFormat="1" applyFont="1" applyFill="1" applyBorder="1" applyAlignment="1">
      <x:alignment horizontal="center" vertical="center"/>
    </x:xf>
    <x:xf numFmtId="200" fontId="12" fillId="8" borderId="4" xfId="0" applyNumberFormat="1" applyFont="1" applyFill="1" applyBorder="1" applyAlignment="1">
      <x:alignment horizontal="center" vertical="center"/>
    </x:xf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wrapText="1"/>
    </x:xf>
    <x:xf numFmtId="0" fontId="13" fillId="7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0" fontId="17" fillId="5" borderId="0" xfId="0" applyNumberFormat="1" applyFont="1" applyFill="1" applyBorder="1" applyAlignment="1">
      <x:alignment vertical="center"/>
    </x:xf>
    <x:xf numFmtId="0" fontId="17" fillId="5" borderId="0" xfId="0" applyNumberFormat="1" applyFont="1" applyFill="1" applyBorder="1" applyAlignment="1">
      <x:alignment horizontal="center" vertical="center"/>
    </x:xf>
    <x:xf numFmtId="0" fontId="17" fillId="7" borderId="0" xfId="0" applyNumberFormat="1" applyFont="1" applyFill="1" applyBorder="1" applyAlignment="1">
      <x:alignment horizontal="center" vertical="center"/>
    </x:xf>
    <x:xf numFmtId="0" fontId="17" fillId="3" borderId="0" xfId="0" applyNumberFormat="1" applyFont="1" applyFill="1" applyBorder="1" applyAlignment="1">
      <x:alignment horizontal="center" vertical="center"/>
    </x:xf>
    <x:xf numFmtId="0" fontId="17" fillId="8" borderId="0" xfId="0" applyNumberFormat="1" applyFont="1" applyFill="1" applyBorder="1" applyAlignment="1">
      <x:alignment horizontal="center" vertical="center"/>
    </x:xf>
    <x:xf numFmtId="203" fontId="18" fillId="5" borderId="12" xfId="0" applyNumberFormat="1" applyFont="1" applyFill="1" applyBorder="1" applyAlignment="1">
      <x:alignment horizontal="center" vertical="center"/>
    </x:xf>
    <x:xf numFmtId="203" fontId="18" fillId="5" borderId="14" xfId="0" applyNumberFormat="1" applyFont="1" applyFill="1" applyBorder="1" applyAlignment="1">
      <x:alignment horizontal="center" vertical="center"/>
    </x:xf>
    <x:xf numFmtId="203" fontId="18" fillId="5" borderId="10" xfId="0" applyNumberFormat="1" applyFont="1" applyFill="1" applyBorder="1" applyAlignment="1">
      <x:alignment horizontal="center" vertical="center"/>
    </x:xf>
    <x:xf numFmtId="203" fontId="18" fillId="7" borderId="12" xfId="0" applyNumberFormat="1" applyFont="1" applyFill="1" applyBorder="1" applyAlignment="1">
      <x:alignment horizontal="center" vertical="center"/>
    </x:xf>
    <x:xf numFmtId="203" fontId="18" fillId="7" borderId="14" xfId="0" applyNumberFormat="1" applyFont="1" applyFill="1" applyBorder="1" applyAlignment="1">
      <x:alignment horizontal="center" vertical="center"/>
    </x:xf>
    <x:xf numFmtId="203" fontId="18" fillId="7" borderId="10" xfId="0" applyNumberFormat="1" applyFont="1" applyFill="1" applyBorder="1" applyAlignment="1">
      <x:alignment horizontal="center" vertical="center"/>
    </x:xf>
    <x:xf numFmtId="203" fontId="18" fillId="3" borderId="12" xfId="0" applyNumberFormat="1" applyFont="1" applyFill="1" applyBorder="1" applyAlignment="1">
      <x:alignment horizontal="center" vertical="center"/>
    </x:xf>
    <x:xf numFmtId="203" fontId="18" fillId="3" borderId="14" xfId="0" applyNumberFormat="1" applyFont="1" applyFill="1" applyBorder="1" applyAlignment="1">
      <x:alignment horizontal="center" vertical="center"/>
    </x:xf>
    <x:xf numFmtId="203" fontId="18" fillId="3" borderId="10" xfId="0" applyNumberFormat="1" applyFont="1" applyFill="1" applyBorder="1" applyAlignment="1">
      <x:alignment horizontal="center" vertical="center"/>
    </x:xf>
    <x:xf numFmtId="200" fontId="18" fillId="8" borderId="12" xfId="0" applyNumberFormat="1" applyFont="1" applyFill="1" applyBorder="1" applyAlignment="1">
      <x:alignment horizontal="center" vertical="center"/>
    </x:xf>
    <x:xf numFmtId="200" fontId="18" fillId="8" borderId="10" xfId="0" applyNumberFormat="1" applyFont="1" applyFill="1" applyBorder="1" applyAlignment="1">
      <x:alignment horizontal="center" vertical="center"/>
    </x:xf>
    <x:xf numFmtId="203" fontId="18" fillId="5" borderId="6" xfId="0" applyNumberFormat="1" applyFont="1" applyFill="1" applyBorder="1" applyAlignment="1">
      <x:alignment horizontal="center" vertical="center"/>
    </x:xf>
    <x:xf numFmtId="203" fontId="18" fillId="5" borderId="15" xfId="0" applyNumberFormat="1" applyFont="1" applyFill="1" applyBorder="1" applyAlignment="1">
      <x:alignment horizontal="center" vertical="center"/>
    </x:xf>
    <x:xf numFmtId="203" fontId="18" fillId="5" borderId="4" xfId="0" applyNumberFormat="1" applyFont="1" applyFill="1" applyBorder="1" applyAlignment="1">
      <x:alignment horizontal="center" vertical="center"/>
    </x:xf>
    <x:xf numFmtId="203" fontId="18" fillId="7" borderId="6" xfId="0" applyNumberFormat="1" applyFont="1" applyFill="1" applyBorder="1" applyAlignment="1">
      <x:alignment horizontal="center" vertical="center"/>
    </x:xf>
    <x:xf numFmtId="203" fontId="18" fillId="7" borderId="15" xfId="0" applyNumberFormat="1" applyFont="1" applyFill="1" applyBorder="1" applyAlignment="1">
      <x:alignment horizontal="center" vertical="center"/>
    </x:xf>
    <x:xf numFmtId="203" fontId="18" fillId="7" borderId="4" xfId="0" applyNumberFormat="1" applyFont="1" applyFill="1" applyBorder="1" applyAlignment="1">
      <x:alignment horizontal="center" vertical="center"/>
    </x:xf>
    <x:xf numFmtId="203" fontId="18" fillId="3" borderId="6" xfId="0" applyNumberFormat="1" applyFont="1" applyFill="1" applyBorder="1" applyAlignment="1">
      <x:alignment horizontal="center" vertical="center"/>
    </x:xf>
    <x:xf numFmtId="203" fontId="18" fillId="3" borderId="15" xfId="0" applyNumberFormat="1" applyFont="1" applyFill="1" applyBorder="1" applyAlignment="1">
      <x:alignment horizontal="center" vertical="center"/>
    </x:xf>
    <x:xf numFmtId="203" fontId="18" fillId="3" borderId="4" xfId="0" applyNumberFormat="1" applyFont="1" applyFill="1" applyBorder="1" applyAlignment="1">
      <x:alignment horizontal="center" vertical="center"/>
    </x:xf>
    <x:xf numFmtId="200" fontId="18" fillId="8" borderId="6" xfId="0" applyNumberFormat="1" applyFont="1" applyFill="1" applyBorder="1" applyAlignment="1">
      <x:alignment horizontal="center" vertical="center"/>
    </x:xf>
    <x:xf numFmtId="200" fontId="18" fillId="8" borderId="4" xfId="0" applyNumberFormat="1" applyFont="1" applyFill="1" applyBorder="1" applyAlignment="1">
      <x:alignment horizontal="center" vertical="center"/>
    </x:xf>
    <x:xf numFmtId="0" fontId="19" fillId="6" borderId="0" xfId="0" applyNumberFormat="1" applyFont="1" applyFill="1" applyBorder="1" applyAlignment="1">
      <x:alignment vertical="center"/>
    </x:xf>
    <x:xf numFmtId="0" fontId="20" fillId="7" borderId="0" xfId="0" applyNumberFormat="1" applyFont="1" applyFill="1" applyBorder="1" applyAlignment="1">
      <x:alignment vertical="center" wrapText="1"/>
    </x:xf>
    <x:xf numFmtId="0" fontId="17" fillId="3" borderId="1" xfId="0" applyNumberFormat="1" applyFont="1" applyFill="1" applyBorder="1" applyAlignment="1">
      <x:alignment vertical="center"/>
    </x:xf>
    <x:xf numFmtId="0" fontId="17" fillId="3" borderId="2" xfId="0" applyNumberFormat="1" applyFont="1" applyFill="1" applyBorder="1" applyAlignment="1">
      <x:alignment vertical="center"/>
    </x:xf>
    <x:xf numFmtId="0" fontId="17" fillId="3" borderId="3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203" fontId="21" fillId="0" borderId="0" xfId="0" applyNumberFormat="1" applyFont="1" applyFill="1" applyBorder="1" applyAlignment="1">
      <x:alignment vertical="center"/>
    </x:xf>
    <x:xf numFmtId="0" fontId="17" fillId="3" borderId="1" xfId="0" applyNumberFormat="1" applyFont="1" applyFill="1" applyBorder="1" applyAlignment="1">
      <x:alignment vertical="center" wrapText="1"/>
    </x:xf>
    <x:xf numFmtId="0" fontId="17" fillId="3" borderId="2" xfId="0" applyNumberFormat="1" applyFont="1" applyFill="1" applyBorder="1" applyAlignment="1">
      <x:alignment vertical="center" wrapText="1"/>
    </x:xf>
    <x:xf numFmtId="0" fontId="17" fillId="3" borderId="3" xfId="0" applyNumberFormat="1" applyFont="1" applyFill="1" applyBorder="1" applyAlignment="1">
      <x:alignment vertical="center" wrapText="1"/>
    </x:xf>
    <x:xf numFmtId="0" fontId="22" fillId="8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200" fontId="23" fillId="4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201" fontId="23" fillId="4" borderId="0" xfId="0" applyNumberFormat="1" applyFont="1" applyFill="1" applyBorder="1"/>
    <x:xf numFmtId="0" fontId="17" fillId="5" borderId="0" xfId="0" applyNumberFormat="1" applyFont="1" applyFill="1" applyBorder="1"/>
    <x:xf numFmtId="0" fontId="24" fillId="0" borderId="0" xfId="0" applyNumberFormat="1" applyFont="1" applyFill="1" applyBorder="1" applyAlignment="1">
      <x:alignment wrapText="1"/>
    </x:xf>
    <x:xf numFmtId="0" fontId="17" fillId="3" borderId="4" xfId="0" applyNumberFormat="1" applyFont="1" applyFill="1" applyBorder="1" applyAlignment="1">
      <x:alignment vertical="center"/>
    </x:xf>
    <x:xf numFmtId="0" fontId="17" fillId="3" borderId="5" xfId="0" applyNumberFormat="1" applyFont="1" applyFill="1" applyBorder="1" applyAlignment="1">
      <x:alignment vertical="center"/>
    </x:xf>
    <x:xf numFmtId="0" fontId="25" fillId="3" borderId="5" xfId="0" applyNumberFormat="1" applyFont="1" applyFill="1" applyBorder="1" applyAlignment="1">
      <x:alignment vertical="center"/>
    </x:xf>
    <x:xf numFmtId="0" fontId="25" fillId="3" borderId="6" xfId="0" applyNumberFormat="1" applyFont="1" applyFill="1" applyBorder="1" applyAlignment="1">
      <x:alignment vertical="center"/>
    </x:xf>
    <x:xf numFmtId="0" fontId="17" fillId="3" borderId="10" xfId="0" applyNumberFormat="1" applyFont="1" applyFill="1" applyBorder="1" applyAlignment="1">
      <x:alignment vertical="center"/>
    </x:xf>
    <x:xf numFmtId="0" fontId="17" fillId="3" borderId="11" xfId="0" applyNumberFormat="1" applyFont="1" applyFill="1" applyBorder="1" applyAlignment="1">
      <x:alignment vertical="center"/>
    </x:xf>
    <x:xf numFmtId="202" fontId="25" fillId="3" borderId="11" xfId="0" applyNumberFormat="1" applyFont="1" applyFill="1" applyBorder="1" applyAlignment="1">
      <x:alignment vertical="center"/>
    </x:xf>
    <x:xf numFmtId="202" fontId="25" fillId="3" borderId="12" xfId="0" applyNumberFormat="1" applyFont="1" applyFill="1" applyBorder="1" applyAlignment="1">
      <x:alignment vertical="center"/>
    </x:xf>
    <x:xf numFmtId="203" fontId="21" fillId="0" borderId="0" xfId="0" applyNumberFormat="1" applyFont="1" applyFill="1" applyBorder="1"/>
    <x:xf numFmtId="0" fontId="26" fillId="5" borderId="13" xfId="0" applyNumberFormat="1" applyFont="1" applyFill="1" applyBorder="1"/>
    <x:xf numFmtId="203" fontId="26" fillId="5" borderId="13" xfId="0" applyNumberFormat="1" applyFont="1" applyFill="1" applyBorder="1"/>
    <x:xf numFmtId="203" fontId="16" fillId="0" borderId="0" xfId="0" applyNumberFormat="1" applyFont="1" applyFill="1" applyBorder="1"/>
    <x:xf numFmtId="203" fontId="19" fillId="6" borderId="0" xfId="0" applyNumberFormat="1" applyFont="1" applyFill="1" applyBorder="1" applyAlignment="1">
      <x:alignment vertical="center"/>
    </x:xf>
    <x:xf numFmtId="0" fontId="26" fillId="7" borderId="13" xfId="0" applyNumberFormat="1" applyFont="1" applyFill="1" applyBorder="1"/>
    <x:xf numFmtId="203" fontId="26" fillId="7" borderId="13" xfId="0" applyNumberFormat="1" applyFont="1" applyFill="1" applyBorder="1"/>
    <x:xf numFmtId="0" fontId="26" fillId="3" borderId="13" xfId="0" applyNumberFormat="1" applyFont="1" applyFill="1" applyBorder="1"/>
    <x:xf numFmtId="203" fontId="26" fillId="3" borderId="13" xfId="0" applyNumberFormat="1" applyFont="1" applyFill="1" applyBorder="1"/>
    <x:xf numFmtId="0" fontId="24" fillId="0" borderId="0" xfId="0" applyNumberFormat="1" applyFont="1" applyFill="1" applyBorder="1" applyAlignment="1">
      <x:alignment horizontal="center"/>
    </x:xf>
    <x:xf numFmtId="200" fontId="16" fillId="0" borderId="0" xfId="0" applyNumberFormat="1" applyFont="1" applyFill="1" applyBorder="1"/>
    <x:xf numFmtId="200" fontId="21" fillId="0" borderId="0" xfId="0" applyNumberFormat="1" applyFont="1" applyFill="1" applyBorder="1"/>
    <x:xf numFmtId="200" fontId="26" fillId="7" borderId="13" xfId="0" applyNumberFormat="1" applyFont="1" applyFill="1" applyBorder="1"/>
    <x:xf numFmtId="0" fontId="22" fillId="8" borderId="0" xfId="0" applyNumberFormat="1" applyFont="1" applyFill="1" applyBorder="1" applyAlignment="1">
      <x:alignment wrapText="1"/>
    </x:xf>
    <x:xf numFmtId="0" fontId="17" fillId="3" borderId="7" xfId="0" applyNumberFormat="1" applyFont="1" applyFill="1" applyBorder="1" applyAlignment="1">
      <x:alignment vertical="center"/>
    </x:xf>
    <x:xf numFmtId="0" fontId="17" fillId="3" borderId="8" xfId="0" applyNumberFormat="1" applyFont="1" applyFill="1" applyBorder="1" applyAlignment="1">
      <x:alignment vertical="center"/>
    </x:xf>
    <x:xf numFmtId="0" fontId="25" fillId="3" borderId="8" xfId="0" applyNumberFormat="1" applyFont="1" applyFill="1" applyBorder="1" applyAlignment="1">
      <x:alignment vertical="center"/>
    </x:xf>
    <x:xf numFmtId="0" fontId="25" fillId="3" borderId="9" xfId="0" applyNumberFormat="1" applyFont="1" applyFill="1" applyBorder="1" applyAlignment="1">
      <x:alignment vertical="center"/>
    </x:xf>
    <x:xf numFmtId="203" fontId="25" fillId="3" borderId="8" xfId="0" applyNumberFormat="1" applyFont="1" applyFill="1" applyBorder="1" applyAlignment="1">
      <x:alignment vertical="center"/>
    </x:xf>
    <x:xf numFmtId="203" fontId="25" fillId="3" borderId="9" xfId="0" applyNumberFormat="1" applyFont="1" applyFill="1" applyBorder="1" applyAlignment="1">
      <x:alignment vertical="center"/>
    </x:xf>
    <x:xf numFmtId="203" fontId="25" fillId="3" borderId="11" xfId="0" applyNumberFormat="1" applyFont="1" applyFill="1" applyBorder="1" applyAlignment="1">
      <x:alignment vertical="center"/>
    </x:xf>
    <x:xf numFmtId="203" fontId="25" fillId="3" borderId="12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/>
    <x:xf numFmtId="0" fontId="24" fillId="0" borderId="0" xfId="0" applyNumberFormat="1" applyFont="1" applyFill="1" applyBorder="1" applyAlignment="1">
      <x:alignment vertical="center"/>
    </x:xf>
    <x:xf numFmtId="0" fontId="17" fillId="3" borderId="6" xfId="0" applyNumberFormat="1" applyFont="1" applyFill="1" applyBorder="1" applyAlignment="1">
      <x:alignment vertical="center"/>
    </x:xf>
    <x:xf numFmtId="0" fontId="17" fillId="3" borderId="9" xfId="0" applyNumberFormat="1" applyFont="1" applyFill="1" applyBorder="1" applyAlignment="1">
      <x:alignment vertical="center"/>
    </x:xf>
    <x:xf numFmtId="202" fontId="17" fillId="3" borderId="8" xfId="0" applyNumberFormat="1" applyFont="1" applyFill="1" applyBorder="1" applyAlignment="1">
      <x:alignment vertical="center"/>
    </x:xf>
    <x:xf numFmtId="202" fontId="17" fillId="3" borderId="9" xfId="0" applyNumberFormat="1" applyFont="1" applyFill="1" applyBorder="1" applyAlignment="1">
      <x:alignment vertical="center"/>
    </x:xf>
    <x:xf numFmtId="0" fontId="17" fillId="3" borderId="12" xfId="0" applyNumberFormat="1" applyFont="1" applyFill="1" applyBorder="1" applyAlignment="1">
      <x:alignment vertical="center"/>
    </x:xf>
    <x:xf numFmtId="0" fontId="27" fillId="0" borderId="0" xfId="0" applyNumberFormat="1" applyFont="1" applyFill="1" applyBorder="1" applyAlignment="1">
      <x:alignment vertical="center"/>
    </x:xf>
    <x:xf numFmtId="203" fontId="27" fillId="0" borderId="0" xfId="0" applyNumberFormat="1" applyFont="1" applyFill="1" applyBorder="1" applyAlignment="1">
      <x:alignment vertical="center"/>
    </x:xf>
    <x:xf numFmtId="0" fontId="26" fillId="6" borderId="0" xfId="0" applyNumberFormat="1" applyFont="1" applyFill="1" applyBorder="1" applyAlignment="1">
      <x:alignment vertical="center"/>
    </x:xf>
    <x:xf numFmtId="203" fontId="16" fillId="0" borderId="0" xfId="0" applyNumberFormat="1" applyFont="1" applyFill="1" applyBorder="1" applyAlignment="1">
      <x:alignment vertical="center"/>
    </x:xf>
    <x:xf numFmtId="204" fontId="16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 wrapText="1"/>
    </x:xf>
    <x:xf numFmtId="0" fontId="17" fillId="3" borderId="1" xfId="0" applyNumberFormat="1" applyFont="1" applyFill="1" applyBorder="1" applyAlignment="1">
      <x:alignment vertical="top"/>
    </x:xf>
    <x:xf numFmtId="0" fontId="17" fillId="3" borderId="2" xfId="0" applyNumberFormat="1" applyFont="1" applyFill="1" applyBorder="1" applyAlignment="1">
      <x:alignment vertical="top"/>
    </x:xf>
    <x:xf numFmtId="0" fontId="17" fillId="3" borderId="3" xfId="0" applyNumberFormat="1" applyFont="1" applyFill="1" applyBorder="1" applyAlignment="1">
      <x:alignment vertical="top"/>
    </x:xf>
    <x:xf numFmtId="0" fontId="16" fillId="0" borderId="0" xfId="0" applyNumberFormat="1" applyFont="1" applyFill="1" applyBorder="1" applyAlignment="1">
      <x:alignment vertical="top"/>
    </x:xf>
    <x:xf numFmtId="0" fontId="16" fillId="0" borderId="0" xfId="0" applyNumberFormat="1" applyFont="1" applyFill="1" applyBorder="1" applyAlignment="1">
      <x:alignment vertical="top" wrapText="1"/>
    </x:xf>
    <x:xf numFmtId="202" fontId="16" fillId="0" borderId="0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 applyAlignment="1">
      <x:alignment vertical="top" wrapText="1"/>
    </x:xf>
    <x:xf numFmtId="0" fontId="19" fillId="6" borderId="0" xfId="0" applyNumberFormat="1" applyFont="1" applyFill="1" applyBorder="1" applyAlignment="1">
      <x:alignment vertical="top"/>
    </x:xf>
    <x:xf numFmtId="0" fontId="19" fillId="6" borderId="0" xfId="0" applyNumberFormat="1" applyFont="1" applyFill="1" applyBorder="1" applyAlignment="1">
      <x:alignment vertical="top" wrapText="1"/>
    </x:xf>
    <x:xf numFmtId="0" fontId="17" fillId="3" borderId="2" xfId="0" applyNumberFormat="1" applyFont="1" applyFill="1" applyBorder="1" applyAlignment="1">
      <x:alignment vertical="top" wrapText="1"/>
    </x:xf>
    <x:xf numFmtId="0" fontId="17" fillId="3" borderId="3" xfId="0" applyNumberFormat="1" applyFont="1" applyFill="1" applyBorder="1" applyAlignment="1">
      <x:alignment vertical="top" wrapText="1"/>
    </x:xf>
    <x:xf numFmtId="205" fontId="21" fillId="0" borderId="0" xfId="0" applyNumberFormat="1" applyFont="1" applyFill="1" applyBorder="1"/>
  </x:cellXfs>
  <x:cellStyles count="1">
    <x:cellStyle name="Normal" xfId="0"/>
  </x:cellStyles>
  <x:dxfs count="6"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0F766E"/>
      </x:font>
      <x:fill>
        <x:patternFill patternType="solid">
          <x:bgColor rgb="FFE8F5E9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0F766E"/>
      </x:font>
      <x:fill>
        <x:patternFill patternType="solid">
          <x:bgColor rgb="FFE8F5E9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0F766E"/>
      </x:font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6f2b6f7af4fdc" /><Relationship Type="http://schemas.openxmlformats.org/officeDocument/2006/relationships/theme" Target="/xl/theme/theme1.xml" Id="Rc6bdd550f09e45f4" /><Relationship Type="http://schemas.openxmlformats.org/officeDocument/2006/relationships/sharedStrings" Target="/xl/sharedStrings.xml" Id="R328cb01877eb45b6" /><Relationship Type="http://schemas.openxmlformats.org/officeDocument/2006/relationships/worksheet" Target="/xl/worksheets/sheet1.xml" Id="Rcb944dd188014309" /><Relationship Type="http://schemas.openxmlformats.org/officeDocument/2006/relationships/worksheet" Target="/xl/worksheets/sheet2.xml" Id="R8db4d77126fd4706" /><Relationship Type="http://schemas.openxmlformats.org/officeDocument/2006/relationships/worksheet" Target="/xl/worksheets/sheet3.xml" Id="R76c8b294242b422c" /><Relationship Type="http://schemas.openxmlformats.org/officeDocument/2006/relationships/worksheet" Target="/xl/worksheets/sheet4.xml" Id="Rbe16248cb23f48b6" /><Relationship Type="http://schemas.openxmlformats.org/officeDocument/2006/relationships/worksheet" Target="/xl/worksheets/sheet5.xml" Id="R6639a1200a8c405f" /><Relationship Type="http://schemas.openxmlformats.org/officeDocument/2006/relationships/worksheet" Target="/xl/worksheets/sheet6.xml" Id="R3dc1173b07804081" /><Relationship Type="http://schemas.openxmlformats.org/officeDocument/2006/relationships/worksheet" Target="/xl/worksheets/sheet7.xml" Id="R59ed26650d774f55" /><Relationship Type="http://schemas.microsoft.com/office/2017/10/relationships/person" Target="/xl/persons/person.xml" Id="R0508916ca7284d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b74d4fd15049e2" /><Relationship Type="http://schemas.openxmlformats.org/officeDocument/2006/relationships/chart" Target="/xl/drawings/charts/chart2.xml" Id="R9cb70723ad9247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Operating capital rises sharply after R&amp;D capitalization ($mm)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Operating CE</c:v>
          </c:tx>
          <c:marker>
            <c:symbol val="none"/>
          </c:marker>
          <c:cat>
            <c:strRef>
              <c:f>'Cover'!$A$17:$A$24</c:f>
              <c:strCache>
                <c:ptCount val="0"/>
              </c:strCache>
            </c:strRef>
          </c:cat>
          <c:val>
            <c:numRef>
              <c:f>'Cover'!$B$17:$B$24</c:f>
              <c:numCache>
                <c:formatCode>$#,##0.0;[Red]($#,##0.0);-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CE pre-customer</c:v>
          </c:tx>
          <c:marker>
            <c:symbol val="none"/>
          </c:marker>
          <c:cat>
            <c:strRef>
              <c:f>'Cover'!$A$17:$A$24</c:f>
              <c:strCache>
                <c:ptCount val="0"/>
              </c:strCache>
            </c:strRef>
          </c:cat>
          <c:val>
            <c:numRef>
              <c:f>'Cover'!$C$17:$C$24</c:f>
              <c:numCache>
                <c:formatCode>$#,##0.0;[Red]($#,##0.0);-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R&amp;D-adjusted CE</c:v>
          </c:tx>
          <c:marker>
            <c:symbol val="none"/>
          </c:marker>
          <c:cat>
            <c:strRef>
              <c:f>'Cover'!$A$17:$A$24</c:f>
              <c:strCache>
                <c:ptCount val="0"/>
              </c:strCache>
            </c:strRef>
          </c:cat>
          <c:val>
            <c:numRef>
              <c:f>'Cover'!$D$17:$D$24</c:f>
              <c:numCache>
                <c:formatCode>$#,##0.0;[Red]($#,##0.0);-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Reported CE largely tracks the liquidity portfolio ($mm)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Reported CE</c:v>
          </c:tx>
          <c:marker>
            <c:symbol val="none"/>
          </c:marker>
          <c:cat>
            <c:strRef>
              <c:f>'Cover'!$F$17:$F$24</c:f>
              <c:strCache>
                <c:ptCount val="0"/>
              </c:strCache>
            </c:strRef>
          </c:cat>
          <c:val>
            <c:numRef>
              <c:f>'Cover'!$G$17:$G$24</c:f>
              <c:numCache>
                <c:formatCode>$#,##0.0;[Red]($#,##0.0);-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Cash + securities</c:v>
          </c:tx>
          <c:marker>
            <c:symbol val="none"/>
          </c:marker>
          <c:cat>
            <c:strRef>
              <c:f>'Cover'!$F$17:$F$24</c:f>
              <c:strCache>
                <c:ptCount val="0"/>
              </c:strCache>
            </c:strRef>
          </c:cat>
          <c:val>
            <c:numRef>
              <c:f>'Cover'!$H$17:$H$24</c:f>
              <c:numCache>
                <c:formatCode>$#,##0.0;[Red]($#,##0.0);-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26</xdr:row>
      <xdr:rowOff>0</xdr:rowOff>
    </xdr:from>
    <xdr:to>
      <xdr:col>7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b74d4fd15049e2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b70723ad92474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96CAC97A-5D8B-467F-90F4-06A4373FE8C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8" dT="2026-07-31T13:49:56.402" personId="{96CAC97A-5D8B-467F-90F4-06A4373FE8CD}" id="{019058A3-5ABF-2DF2-5F78-466F0D06C68A}">
    <xltc:text>Analyst assumption. The 21% normalized tax rate is applied consistently to R&amp;D-adjusted EBIT for ROIC. Replace it with your long-run marginal cash tax rate if your underwriting differs.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12" dT="2026-07-31T13:49:56.408" personId="{96CAC97A-5D8B-467F-90F4-06A4373FE8CD}" id="{2A4EF529-1E61-A9AE-DF3B-3678283022BA}">
    <xltc:text>SRC-002 | SEC 10-K | Filed 2021-03-01 | XBRL: Assets | FY2019
https://www.sec.gov/Archives/edgar/data/1561550/000156459021009770/0001564590-21-009770-index.html</xltc:text>
  </xltc:threadedComment>
  <xltc:threadedComment ref="C13" dT="2026-07-31T13:49:56.408" personId="{96CAC97A-5D8B-467F-90F4-06A4373FE8CD}" id="{0B59A761-217D-00BD-6C04-7A505DF464CF}">
    <xltc:text>SRC-002 | SEC 10-K | Filed 2021-03-01 | XBRL: Liabilities | FY2019
https://www.sec.gov/Archives/edgar/data/1561550/000156459021009770/0001564590-21-009770-index.html</xltc:text>
  </xltc:threadedComment>
  <xltc:threadedComment ref="C14" dT="2026-07-31T13:49:56.408" personId="{96CAC97A-5D8B-467F-90F4-06A4373FE8CD}" id="{A45D6F03-3A46-D0F4-1428-4CF9B00DD65F}">
    <xltc:text>SRC-002 | SEC 10-K | Filed 2021-03-01 | XBRL: LiabilitiesAndStockholdersEquity | FY2019
https://www.sec.gov/Archives/edgar/data/1561550/000156459021009770/0001564590-21-009770-index.html</xltc:text>
  </xltc:threadedComment>
  <xltc:threadedComment ref="C15" dT="2026-07-31T13:49:56.408" personId="{96CAC97A-5D8B-467F-90F4-06A4373FE8CD}" id="{8B680947-B2B3-C668-B71C-0152E09B1B96}">
    <xltc:text>SRC-002 | SEC 10-K | Filed 2021-03-01 | XBRL: LiabilitiesCurrent | FY2019
https://www.sec.gov/Archives/edgar/data/1561550/000156459021009770/0001564590-21-009770-index.html</xltc:text>
  </xltc:threadedComment>
  <xltc:threadedComment ref="C16" dT="2026-07-31T13:49:56.408" personId="{96CAC97A-5D8B-467F-90F4-06A4373FE8CD}" id="{23AADB1A-CF6D-1D0B-4FFF-E0B1C62B624F}">
    <xltc:text>SRC-004 | SEC 10-K | Filed 2023-02-24 | XBRL: StockholdersEquity | FY2019
https://www.sec.gov/Archives/edgar/data/1561550/000156155023000006/0001561550-23-000006-index.html</xltc:text>
  </xltc:threadedComment>
  <xltc:threadedComment ref="C17" dT="2026-07-31T13:49:56.408" personId="{96CAC97A-5D8B-467F-90F4-06A4373FE8CD}" id="{568992BE-0B31-65B0-E81B-F1DA8562D33E}">
    <xltc:text>SRC-003 | SEC 10-K | Filed 2022-02-25 | XBRL: CashAndCashEquivalentsAtCarryingValue | FY2019
https://www.sec.gov/Archives/edgar/data/1561550/000156155022000009/0001561550-22-000009-index.html</xltc:text>
  </xltc:threadedComment>
  <xltc:threadedComment ref="C18" dT="2026-07-31T13:49:56.408" personId="{96CAC97A-5D8B-467F-90F4-06A4373FE8CD}" id="{30FA36A7-3313-7A5C-2BE1-1C62DE099DAA}">
    <xltc:text>SRC-002 | SEC 10-K | Filed 2021-03-01 | XBRL: AvailableForSaleSecuritiesDebtSecuritiesCurrent | FY2019
https://www.sec.gov/Archives/edgar/data/1561550/000156459021009770/0001564590-21-009770-index.html</xltc:text>
  </xltc:threadedComment>
  <xltc:threadedComment ref="C19" dT="2026-07-31T13:49:56.408" personId="{96CAC97A-5D8B-467F-90F4-06A4373FE8CD}" id="{FF7B62F7-B5DA-7617-8F99-A7A7CC1398A1}">
    <xltc:text>Source gap: Convertible debt — current was not separately tagged in SEC Companyfacts for FY2019. The source cell is left blank; model SUM formulas treat the blank as zero only where no separate balance was reported.</xltc:text>
  </xltc:threadedComment>
  <xltc:threadedComment ref="C20" dT="2026-07-31T13:49:56.408" personId="{96CAC97A-5D8B-467F-90F4-06A4373FE8CD}" id="{85A14F1B-C8B0-27F2-EA61-B2CD7419164C}">
    <xltc:text>Source gap: Convertible debt — non-current was not separately tagged in SEC Companyfacts for FY2019. The source cell is left blank; model SUM formulas treat the blank as zero only where no separate balance was reported.</xltc:text>
  </xltc:threadedComment>
  <xltc:threadedComment ref="C21" dT="2026-07-31T13:49:56.408" personId="{96CAC97A-5D8B-467F-90F4-06A4373FE8CD}" id="{D8368952-95B9-CB1C-2F43-C60A394D51A9}">
    <xltc:text>SRC-002 | SEC 10-K | Filed 2021-03-01 | XBRL: OperatingLeaseLiabilityCurrent | FY2019
https://www.sec.gov/Archives/edgar/data/1561550/000156459021009770/0001564590-21-009770-index.html</xltc:text>
  </xltc:threadedComment>
  <xltc:threadedComment ref="C22" dT="2026-07-31T13:49:56.408" personId="{96CAC97A-5D8B-467F-90F4-06A4373FE8CD}" id="{442C1104-6740-69FA-A5B3-90C9D70BAEEC}">
    <xltc:text>SRC-002 | SEC 10-K | Filed 2021-03-01 | XBRL: OperatingLeaseLiabilityNoncurrent | FY2019
https://www.sec.gov/Archives/edgar/data/1561550/000156459021009770/0001564590-21-009770-index.html</xltc:text>
  </xltc:threadedComment>
  <xltc:threadedComment ref="C23" dT="2026-07-31T13:49:56.408" personId="{96CAC97A-5D8B-467F-90F4-06A4373FE8CD}" id="{01C27351-D89F-828F-3EB1-32603B30A793}">
    <xltc:text>SRC-002 | SEC 10-K | Filed 2021-03-01 | XBRL: ContractWithCustomerLiabilityCurrent | FY2019
https://www.sec.gov/Archives/edgar/data/1561550/000156459021009770/0001564590-21-009770-index.html</xltc:text>
  </xltc:threadedComment>
  <xltc:threadedComment ref="C24" dT="2026-07-31T13:49:56.409" personId="{96CAC97A-5D8B-467F-90F4-06A4373FE8CD}" id="{F3893F31-1995-1775-D183-6582BCF0497E}">
    <xltc:text>SRC-002 | SEC 10-K | Filed 2021-03-01 | XBRL: ContractWithCustomerLiabilityNoncurrent | FY2019
https://www.sec.gov/Archives/edgar/data/1561550/000156459021009770/0001564590-21-009770-index.html</xltc:text>
  </xltc:threadedComment>
  <xltc:threadedComment ref="C25" dT="2026-07-31T13:49:56.409" personId="{96CAC97A-5D8B-467F-90F4-06A4373FE8CD}" id="{C78534C3-9C43-F493-0786-63A1BD4EA59A}">
    <xltc:text>SRC-002 | SEC 10-K | Filed 2021-03-01 | XBRL: Goodwill | FY2019
https://www.sec.gov/Archives/edgar/data/1561550/000156459021009770/0001564590-21-009770-index.html</xltc:text>
  </xltc:threadedComment>
  <xltc:threadedComment ref="C26" dT="2026-07-31T13:49:56.409" personId="{96CAC97A-5D8B-467F-90F4-06A4373FE8CD}" id="{0ECECF1C-99C2-36DB-0AE6-C00FD99FC127}">
    <xltc:text>SRC-002 | SEC 10-K | Filed 2021-03-01 | XBRL: FiniteLivedIntangibleAssetsNet | FY2019
https://www.sec.gov/Archives/edgar/data/1561550/000156459021009770/0001564590-21-009770-index.html</xltc:text>
  </xltc:threadedComment>
  <xltc:threadedComment ref="C27" dT="2026-07-31T13:49:56.409" personId="{96CAC97A-5D8B-467F-90F4-06A4373FE8CD}" id="{E2C2C892-085E-1C1A-8CBD-36FA3939D0DE}">
    <xltc:text>SRC-002 | SEC 10-K | Filed 2021-03-01 | XBRL: OperatingLeaseRightOfUseAsset | FY2019
https://www.sec.gov/Archives/edgar/data/1561550/000156459021009770/0001564590-21-009770-index.html</xltc:text>
  </xltc:threadedComment>
  <xltc:threadedComment ref="C28" dT="2026-07-31T13:49:56.409" personId="{96CAC97A-5D8B-467F-90F4-06A4373FE8CD}" id="{C56FE2A2-081E-DA94-3EC2-03CAFC0B8DE5}">
    <xltc:text>SRC-002 | SEC 10-K | Filed 2021-03-01 | XBRL: PropertyPlantAndEquipmentNet | FY2019
https://www.sec.gov/Archives/edgar/data/1561550/000156459021009770/0001564590-21-009770-index.html</xltc:text>
  </xltc:threadedComment>
  <xltc:threadedComment ref="D12" dT="2026-07-31T13:49:56.409" personId="{96CAC97A-5D8B-467F-90F4-06A4373FE8CD}" id="{B8413885-6C8A-3017-8057-22FCA1F76E57}">
    <xltc:text>SRC-003 | SEC 10-K | Filed 2022-02-25 | XBRL: Assets | FY2020
https://www.sec.gov/Archives/edgar/data/1561550/000156155022000009/0001561550-22-000009-index.html</xltc:text>
  </xltc:threadedComment>
  <xltc:threadedComment ref="D13" dT="2026-07-31T13:49:56.409" personId="{96CAC97A-5D8B-467F-90F4-06A4373FE8CD}" id="{5221AADF-6BF8-AB34-913E-AA25A4DAB20D}">
    <xltc:text>SRC-003 | SEC 10-K | Filed 2022-02-25 | XBRL: Liabilities | FY2020
https://www.sec.gov/Archives/edgar/data/1561550/000156155022000009/0001561550-22-000009-index.html</xltc:text>
  </xltc:threadedComment>
  <xltc:threadedComment ref="D14" dT="2026-07-31T13:49:56.409" personId="{96CAC97A-5D8B-467F-90F4-06A4373FE8CD}" id="{AADAD9CC-96ED-2AB6-D861-BA019F88B3EB}">
    <xltc:text>SRC-003 | SEC 10-K | Filed 2022-02-25 | XBRL: LiabilitiesAndStockholdersEquity | FY2020
https://www.sec.gov/Archives/edgar/data/1561550/000156155022000009/0001561550-22-000009-index.html</xltc:text>
  </xltc:threadedComment>
  <xltc:threadedComment ref="D15" dT="2026-07-31T13:49:56.409" personId="{96CAC97A-5D8B-467F-90F4-06A4373FE8CD}" id="{F363F75F-918C-3AF3-918F-A6F71CDEDDBF}">
    <xltc:text>SRC-003 | SEC 10-K | Filed 2022-02-25 | XBRL: LiabilitiesCurrent | FY2020
https://www.sec.gov/Archives/edgar/data/1561550/000156155022000009/0001561550-22-000009-index.html</xltc:text>
  </xltc:threadedComment>
  <xltc:threadedComment ref="D16" dT="2026-07-31T13:49:56.409" personId="{96CAC97A-5D8B-467F-90F4-06A4373FE8CD}" id="{18B65BBE-E994-2B20-8F82-2841B20A779F}">
    <xltc:text>SRC-005 | SEC 10-K | Filed 2024-02-23 | XBRL: StockholdersEquity | FY2020
https://www.sec.gov/Archives/edgar/data/1561550/000156155024000009/0001561550-24-000009-index.html</xltc:text>
  </xltc:threadedComment>
  <xltc:threadedComment ref="D17" dT="2026-07-31T13:49:56.409" personId="{96CAC97A-5D8B-467F-90F4-06A4373FE8CD}" id="{232EE847-3B7F-337B-CA2C-3FF6DB6D69E4}">
    <xltc:text>SRC-004 | SEC 10-K | Filed 2023-02-24 | XBRL: CashAndCashEquivalentsAtCarryingValue | FY2020
https://www.sec.gov/Archives/edgar/data/1561550/000156155023000006/0001561550-23-000006-index.html</xltc:text>
  </xltc:threadedComment>
  <xltc:threadedComment ref="D18" dT="2026-07-31T13:49:56.409" personId="{96CAC97A-5D8B-467F-90F4-06A4373FE8CD}" id="{E420AD6E-FF36-D122-11B7-D5EFFE99E71C}">
    <xltc:text>SRC-003 | SEC 10-K | Filed 2022-02-25 | XBRL: AvailableForSaleSecuritiesDebtSecuritiesCurrent | FY2020
https://www.sec.gov/Archives/edgar/data/1561550/000156155022000009/0001561550-22-000009-index.html</xltc:text>
  </xltc:threadedComment>
  <xltc:threadedComment ref="D19" dT="2026-07-31T13:49:56.409" personId="{96CAC97A-5D8B-467F-90F4-06A4373FE8CD}" id="{ACE22116-C64C-1E57-9BFA-D64180B4F4EC}">
    <xltc:text>Source gap: Convertible debt — current was not separately tagged in SEC Companyfacts for FY2020. The source cell is left blank; model SUM formulas treat the blank as zero only where no separate balance was reported.</xltc:text>
  </xltc:threadedComment>
  <xltc:threadedComment ref="D20" dT="2026-07-31T13:49:56.409" personId="{96CAC97A-5D8B-467F-90F4-06A4373FE8CD}" id="{5277D5C5-3080-F0D4-0AED-43CA61F41E78}">
    <xltc:text>SRC-003 | SEC 10-K | Filed 2022-02-25 | XBRL: ConvertibleLongTermNotesPayable | FY2020
https://www.sec.gov/Archives/edgar/data/1561550/000156155022000009/0001561550-22-000009-index.html</xltc:text>
  </xltc:threadedComment>
  <xltc:threadedComment ref="D21" dT="2026-07-31T13:49:56.409" personId="{96CAC97A-5D8B-467F-90F4-06A4373FE8CD}" id="{6A717D59-5E4C-EC6F-EA68-6E184B66361F}">
    <xltc:text>SRC-003 | SEC 10-K | Filed 2022-02-25 | XBRL: OperatingLeaseLiabilityCurrent | FY2020
https://www.sec.gov/Archives/edgar/data/1561550/000156155022000009/0001561550-22-000009-index.html</xltc:text>
  </xltc:threadedComment>
  <xltc:threadedComment ref="D22" dT="2026-07-31T13:49:56.409" personId="{96CAC97A-5D8B-467F-90F4-06A4373FE8CD}" id="{E5FAFC50-F447-C45D-4450-12247AE54FCA}">
    <xltc:text>SRC-003 | SEC 10-K | Filed 2022-02-25 | XBRL: OperatingLeaseLiabilityNoncurrent | FY2020
https://www.sec.gov/Archives/edgar/data/1561550/000156155022000009/0001561550-22-000009-index.html</xltc:text>
  </xltc:threadedComment>
  <xltc:threadedComment ref="D23" dT="2026-07-31T13:49:56.409" personId="{96CAC97A-5D8B-467F-90F4-06A4373FE8CD}" id="{10C18B21-1C7B-81D8-1A1B-2C58CF85B85B}">
    <xltc:text>SRC-003 | SEC 10-K | Filed 2022-02-25 | XBRL: ContractWithCustomerLiabilityCurrent | FY2020
https://www.sec.gov/Archives/edgar/data/1561550/000156155022000009/0001561550-22-000009-index.html</xltc:text>
  </xltc:threadedComment>
  <xltc:threadedComment ref="D24" dT="2026-07-31T13:49:56.409" personId="{96CAC97A-5D8B-467F-90F4-06A4373FE8CD}" id="{D882186C-D26D-776B-666B-C62C6DF4C440}">
    <xltc:text>SRC-003 | SEC 10-K | Filed 2022-02-25 | XBRL: ContractWithCustomerLiabilityNoncurrent | FY2020
https://www.sec.gov/Archives/edgar/data/1561550/000156155022000009/0001561550-22-000009-index.html</xltc:text>
  </xltc:threadedComment>
  <xltc:threadedComment ref="D25" dT="2026-07-31T13:49:56.409" personId="{96CAC97A-5D8B-467F-90F4-06A4373FE8CD}" id="{B5269F6E-10D3-88C5-5408-6462778DE23D}">
    <xltc:text>SRC-003 | SEC 10-K | Filed 2022-02-25 | XBRL: Goodwill | FY2020
https://www.sec.gov/Archives/edgar/data/1561550/000156155022000009/0001561550-22-000009-index.html</xltc:text>
  </xltc:threadedComment>
  <xltc:threadedComment ref="D26" dT="2026-07-31T13:49:56.409" personId="{96CAC97A-5D8B-467F-90F4-06A4373FE8CD}" id="{08D6A410-DDF7-7564-009E-57DADD5BA610}">
    <xltc:text>SRC-003 | SEC 10-K | Filed 2022-02-25 | XBRL: FiniteLivedIntangibleAssetsNet | FY2020
https://www.sec.gov/Archives/edgar/data/1561550/000156155022000009/0001561550-22-000009-index.html</xltc:text>
  </xltc:threadedComment>
  <xltc:threadedComment ref="D27" dT="2026-07-31T13:49:56.409" personId="{96CAC97A-5D8B-467F-90F4-06A4373FE8CD}" id="{1A17CB28-7784-2F38-CD21-A2F5418E8A5C}">
    <xltc:text>SRC-003 | SEC 10-K | Filed 2022-02-25 | XBRL: OperatingLeaseRightOfUseAsset | FY2020
https://www.sec.gov/Archives/edgar/data/1561550/000156155022000009/0001561550-22-000009-index.html</xltc:text>
  </xltc:threadedComment>
  <xltc:threadedComment ref="D28" dT="2026-07-31T13:49:56.409" personId="{96CAC97A-5D8B-467F-90F4-06A4373FE8CD}" id="{8323CFBA-415A-E4A9-840E-073E7A585EF8}">
    <xltc:text>SRC-003 | SEC 10-K | Filed 2022-02-25 | XBRL: PropertyPlantAndEquipmentNet | FY2020
https://www.sec.gov/Archives/edgar/data/1561550/000156155022000009/0001561550-22-000009-index.html</xltc:text>
  </xltc:threadedComment>
  <xltc:threadedComment ref="E12" dT="2026-07-31T13:49:56.409" personId="{96CAC97A-5D8B-467F-90F4-06A4373FE8CD}" id="{7B5ADB47-9194-A967-20C1-1808D8A5E379}">
    <xltc:text>SRC-004 | SEC 10-K | Filed 2023-02-24 | XBRL: Assets | FY2021
https://www.sec.gov/Archives/edgar/data/1561550/000156155023000006/0001561550-23-000006-index.html</xltc:text>
  </xltc:threadedComment>
  <xltc:threadedComment ref="E13" dT="2026-07-31T13:49:56.409" personId="{96CAC97A-5D8B-467F-90F4-06A4373FE8CD}" id="{E3AE1A82-5F81-A159-3435-6A7B4043B3E5}">
    <xltc:text>SRC-004 | SEC 10-K | Filed 2023-02-24 | XBRL: Liabilities | FY2021
https://www.sec.gov/Archives/edgar/data/1561550/000156155023000006/0001561550-23-000006-index.html</xltc:text>
  </xltc:threadedComment>
  <xltc:threadedComment ref="E14" dT="2026-07-31T13:49:56.409" personId="{96CAC97A-5D8B-467F-90F4-06A4373FE8CD}" id="{9F459093-18B0-35D9-5406-249C068A516A}">
    <xltc:text>SRC-004 | SEC 10-K | Filed 2023-02-24 | XBRL: LiabilitiesAndStockholdersEquity | FY2021
https://www.sec.gov/Archives/edgar/data/1561550/000156155023000006/0001561550-23-000006-index.html</xltc:text>
  </xltc:threadedComment>
  <xltc:threadedComment ref="E15" dT="2026-07-31T13:49:56.409" personId="{96CAC97A-5D8B-467F-90F4-06A4373FE8CD}" id="{1930A02D-206D-5176-39AF-A373D2B8C6A1}">
    <xltc:text>SRC-004 | SEC 10-K | Filed 2023-02-24 | XBRL: LiabilitiesCurrent | FY2021
https://www.sec.gov/Archives/edgar/data/1561550/000156155023000006/0001561550-23-000006-index.html</xltc:text>
  </xltc:threadedComment>
  <xltc:threadedComment ref="E16" dT="2026-07-31T13:49:56.409" personId="{96CAC97A-5D8B-467F-90F4-06A4373FE8CD}" id="{1F835088-BCD8-D786-CA37-79C183837EE4}">
    <xltc:text>SRC-006 | SEC 10-K | Filed 2025-02-20 | XBRL: StockholdersEquity | FY2021
https://www.sec.gov/Archives/edgar/data/1561550/000156155025000025/0001561550-25-000025-index.html</xltc:text>
  </xltc:threadedComment>
  <xltc:threadedComment ref="E17" dT="2026-07-31T13:49:56.409" personId="{96CAC97A-5D8B-467F-90F4-06A4373FE8CD}" id="{EECEF064-C947-1D8F-5783-875B07ADBDF6}">
    <xltc:text>SRC-005 | SEC 10-K | Filed 2024-02-23 | XBRL: CashAndCashEquivalentsAtCarryingValue | FY2021
https://www.sec.gov/Archives/edgar/data/1561550/000156155024000009/0001561550-24-000009-index.html</xltc:text>
  </xltc:threadedComment>
  <xltc:threadedComment ref="E18" dT="2026-07-31T13:49:56.409" personId="{96CAC97A-5D8B-467F-90F4-06A4373FE8CD}" id="{16249C23-A2A5-647E-6A6D-F241CC55B117}">
    <xltc:text>SRC-004 | SEC 10-K | Filed 2023-02-24 | XBRL: AvailableForSaleSecuritiesDebtSecuritiesCurrent | FY2021
https://www.sec.gov/Archives/edgar/data/1561550/000156155023000006/0001561550-23-000006-index.html</xltc:text>
  </xltc:threadedComment>
  <xltc:threadedComment ref="E19" dT="2026-07-31T13:49:56.409" personId="{96CAC97A-5D8B-467F-90F4-06A4373FE8CD}" id="{593D8B42-245B-ED1C-F935-FC948D57B199}">
    <xltc:text>Source gap: Convertible debt — current was not separately tagged in SEC Companyfacts for FY2021. The source cell is left blank; model SUM formulas treat the blank as zero only where no separate balance was reported.</xltc:text>
  </xltc:threadedComment>
  <xltc:threadedComment ref="E20" dT="2026-07-31T13:49:56.409" personId="{96CAC97A-5D8B-467F-90F4-06A4373FE8CD}" id="{1974143D-610B-7153-4371-79464B5F2E8F}">
    <xltc:text>SRC-004 | SEC 10-K | Filed 2023-02-24 | XBRL: ConvertibleLongTermNotesPayable | FY2021
https://www.sec.gov/Archives/edgar/data/1561550/000156155023000006/0001561550-23-000006-index.html</xltc:text>
  </xltc:threadedComment>
  <xltc:threadedComment ref="E21" dT="2026-07-31T13:49:56.409" personId="{96CAC97A-5D8B-467F-90F4-06A4373FE8CD}" id="{850CD4AB-2868-2BBF-1598-5A3A26596419}">
    <xltc:text>SRC-004 | SEC 10-K | Filed 2023-02-24 | XBRL: OperatingLeaseLiabilityCurrent | FY2021
https://www.sec.gov/Archives/edgar/data/1561550/000156155023000006/0001561550-23-000006-index.html</xltc:text>
  </xltc:threadedComment>
  <xltc:threadedComment ref="E22" dT="2026-07-31T13:49:56.409" personId="{96CAC97A-5D8B-467F-90F4-06A4373FE8CD}" id="{497757A1-B005-D85E-0A75-C058CF6B890B}">
    <xltc:text>SRC-004 | SEC 10-K | Filed 2023-02-24 | XBRL: OperatingLeaseLiabilityNoncurrent | FY2021
https://www.sec.gov/Archives/edgar/data/1561550/000156155023000006/0001561550-23-000006-index.html</xltc:text>
  </xltc:threadedComment>
  <xltc:threadedComment ref="E23" dT="2026-07-31T13:49:56.409" personId="{96CAC97A-5D8B-467F-90F4-06A4373FE8CD}" id="{F8583C60-5859-4808-B998-3F74DF9D48FA}">
    <xltc:text>SRC-004 | SEC 10-K | Filed 2023-02-24 | XBRL: ContractWithCustomerLiabilityCurrent | FY2021
https://www.sec.gov/Archives/edgar/data/1561550/000156155023000006/0001561550-23-000006-index.html</xltc:text>
  </xltc:threadedComment>
  <xltc:threadedComment ref="E24" dT="2026-07-31T13:49:56.41" personId="{96CAC97A-5D8B-467F-90F4-06A4373FE8CD}" id="{FEE7C126-1C23-BE59-BC01-295EBB5912C3}">
    <xltc:text>SRC-004 | SEC 10-K | Filed 2023-02-24 | XBRL: ContractWithCustomerLiabilityNoncurrent | FY2021
https://www.sec.gov/Archives/edgar/data/1561550/000156155023000006/0001561550-23-000006-index.html</xltc:text>
  </xltc:threadedComment>
  <xltc:threadedComment ref="E25" dT="2026-07-31T13:49:56.41" personId="{96CAC97A-5D8B-467F-90F4-06A4373FE8CD}" id="{436B3C46-3F60-858A-00EF-045287E2382C}">
    <xltc:text>SRC-004 | SEC 10-K | Filed 2023-02-24 | XBRL: Goodwill | FY2021
https://www.sec.gov/Archives/edgar/data/1561550/000156155023000006/0001561550-23-000006-index.html</xltc:text>
  </xltc:threadedComment>
  <xltc:threadedComment ref="E26" dT="2026-07-31T13:49:56.41" personId="{96CAC97A-5D8B-467F-90F4-06A4373FE8CD}" id="{EBF68883-BBA6-BAF0-1001-D4B8F29EE53D}">
    <xltc:text>SRC-004 | SEC 10-K | Filed 2023-02-24 | XBRL: FiniteLivedIntangibleAssetsNet | FY2021
https://www.sec.gov/Archives/edgar/data/1561550/000156155023000006/0001561550-23-000006-index.html</xltc:text>
  </xltc:threadedComment>
  <xltc:threadedComment ref="E27" dT="2026-07-31T13:49:56.41" personId="{96CAC97A-5D8B-467F-90F4-06A4373FE8CD}" id="{CC0CE7C6-3095-9AFB-0A5D-170BFCAEEB4B}">
    <xltc:text>SRC-004 | SEC 10-K | Filed 2023-02-24 | XBRL: OperatingLeaseRightOfUseAsset | FY2021
https://www.sec.gov/Archives/edgar/data/1561550/000156155023000006/0001561550-23-000006-index.html</xltc:text>
  </xltc:threadedComment>
  <xltc:threadedComment ref="E28" dT="2026-07-31T13:49:56.41" personId="{96CAC97A-5D8B-467F-90F4-06A4373FE8CD}" id="{135811C6-358D-3B14-9432-FDE2808194A4}">
    <xltc:text>SRC-004 | SEC 10-K | Filed 2023-02-24 | XBRL: PropertyPlantAndEquipmentNet | FY2021
https://www.sec.gov/Archives/edgar/data/1561550/000156155023000006/0001561550-23-000006-index.html</xltc:text>
  </xltc:threadedComment>
  <xltc:threadedComment ref="F12" dT="2026-07-31T13:49:56.41" personId="{96CAC97A-5D8B-467F-90F4-06A4373FE8CD}" id="{349A727E-74E4-3535-D4EE-F2124E0301EF}">
    <xltc:text>SRC-005 | SEC 10-K | Filed 2024-02-23 | XBRL: Assets | FY2022
https://www.sec.gov/Archives/edgar/data/1561550/000156155024000009/0001561550-24-000009-index.html</xltc:text>
  </xltc:threadedComment>
  <xltc:threadedComment ref="F13" dT="2026-07-31T13:49:56.41" personId="{96CAC97A-5D8B-467F-90F4-06A4373FE8CD}" id="{E1D27F54-5FA5-874C-51AD-2F6FDB987574}">
    <xltc:text>SRC-005 | SEC 10-K | Filed 2024-02-23 | XBRL: Liabilities | FY2022
https://www.sec.gov/Archives/edgar/data/1561550/000156155024000009/0001561550-24-000009-index.html</xltc:text>
  </xltc:threadedComment>
  <xltc:threadedComment ref="F14" dT="2026-07-31T13:49:56.41" personId="{96CAC97A-5D8B-467F-90F4-06A4373FE8CD}" id="{639C0884-56DE-DB9A-E9A1-9CCEF8D5F279}">
    <xltc:text>SRC-005 | SEC 10-K | Filed 2024-02-23 | XBRL: LiabilitiesAndStockholdersEquity | FY2022
https://www.sec.gov/Archives/edgar/data/1561550/000156155024000009/0001561550-24-000009-index.html</xltc:text>
  </xltc:threadedComment>
  <xltc:threadedComment ref="F15" dT="2026-07-31T13:49:56.41" personId="{96CAC97A-5D8B-467F-90F4-06A4373FE8CD}" id="{26B8A522-27D5-197C-F9F6-E51DAB4A911B}">
    <xltc:text>SRC-005 | SEC 10-K | Filed 2024-02-23 | XBRL: LiabilitiesCurrent | FY2022
https://www.sec.gov/Archives/edgar/data/1561550/000156155024000009/0001561550-24-000009-index.html</xltc:text>
  </xltc:threadedComment>
  <xltc:threadedComment ref="F16" dT="2026-07-31T13:49:56.41" personId="{96CAC97A-5D8B-467F-90F4-06A4373FE8CD}" id="{9FF5B0F7-E2AC-8E75-B0DB-F8A6490A7A18}">
    <xltc:text>SRC-007 | SEC 10-K | Filed 2026-02-18 | XBRL: StockholdersEquity | FY2022
https://www.sec.gov/Archives/edgar/data/1561550/000162828026008819/0001628280-26-008819-index.html</xltc:text>
  </xltc:threadedComment>
  <xltc:threadedComment ref="F17" dT="2026-07-31T13:49:56.41" personId="{96CAC97A-5D8B-467F-90F4-06A4373FE8CD}" id="{B83259DB-6E21-A590-2949-85C2F5D2A309}">
    <xltc:text>SRC-006 | SEC 10-K | Filed 2025-02-20 | XBRL: CashAndCashEquivalentsAtCarryingValue | FY2022
https://www.sec.gov/Archives/edgar/data/1561550/000156155025000025/0001561550-25-000025-index.html</xltc:text>
  </xltc:threadedComment>
  <xltc:threadedComment ref="F18" dT="2026-07-31T13:49:56.41" personId="{96CAC97A-5D8B-467F-90F4-06A4373FE8CD}" id="{F75CF423-B2D4-1A9C-2532-91A606EE4B60}">
    <xltc:text>SRC-005 | SEC 10-K | Filed 2024-02-23 | XBRL: AvailableForSaleSecuritiesDebtSecuritiesCurrent | FY2022
https://www.sec.gov/Archives/edgar/data/1561550/000156155024000009/0001561550-24-000009-index.html</xltc:text>
  </xltc:threadedComment>
  <xltc:threadedComment ref="F19" dT="2026-07-31T13:49:56.41" personId="{96CAC97A-5D8B-467F-90F4-06A4373FE8CD}" id="{E9B8E7C4-375D-CC5B-B1F2-28FD5E510E12}">
    <xltc:text>Source gap: Convertible debt — current was not separately tagged in SEC Companyfacts for FY2022. The source cell is left blank; model SUM formulas treat the blank as zero only where no separate balance was reported.</xltc:text>
  </xltc:threadedComment>
  <xltc:threadedComment ref="F20" dT="2026-07-31T13:49:56.41" personId="{96CAC97A-5D8B-467F-90F4-06A4373FE8CD}" id="{252EA62A-F69D-88EF-C0A7-259725CA0F2C}">
    <xltc:text>SRC-005 | SEC 10-K | Filed 2024-02-23 | XBRL: ConvertibleLongTermNotesPayable | FY2022
https://www.sec.gov/Archives/edgar/data/1561550/000156155024000009/0001561550-24-000009-index.html</xltc:text>
  </xltc:threadedComment>
  <xltc:threadedComment ref="F21" dT="2026-07-31T13:49:56.41" personId="{96CAC97A-5D8B-467F-90F4-06A4373FE8CD}" id="{B490D921-727C-668F-43AA-C8DC69CC937B}">
    <xltc:text>SRC-005 | SEC 10-K | Filed 2024-02-23 | XBRL: OperatingLeaseLiabilityCurrent | FY2022
https://www.sec.gov/Archives/edgar/data/1561550/000156155024000009/0001561550-24-000009-index.html</xltc:text>
  </xltc:threadedComment>
  <xltc:threadedComment ref="F22" dT="2026-07-31T13:49:56.41" personId="{96CAC97A-5D8B-467F-90F4-06A4373FE8CD}" id="{A4A6FAE8-7C4C-2A1E-46B6-B23B94B7FB0F}">
    <xltc:text>SRC-005 | SEC 10-K | Filed 2024-02-23 | XBRL: OperatingLeaseLiabilityNoncurrent | FY2022
https://www.sec.gov/Archives/edgar/data/1561550/000156155024000009/0001561550-24-000009-index.html</xltc:text>
  </xltc:threadedComment>
  <xltc:threadedComment ref="F23" dT="2026-07-31T13:49:56.41" personId="{96CAC97A-5D8B-467F-90F4-06A4373FE8CD}" id="{F6E0E6B5-585D-E56C-744C-07C5AC5EDD69}">
    <xltc:text>SRC-005 | SEC 10-K | Filed 2024-02-23 | XBRL: ContractWithCustomerLiabilityCurrent | FY2022
https://www.sec.gov/Archives/edgar/data/1561550/000156155024000009/0001561550-24-000009-index.html</xltc:text>
  </xltc:threadedComment>
  <xltc:threadedComment ref="F24" dT="2026-07-31T13:49:56.41" personId="{96CAC97A-5D8B-467F-90F4-06A4373FE8CD}" id="{62D29715-B0A4-4DDB-C0D1-99873F1F9343}">
    <xltc:text>SRC-005 | SEC 10-K | Filed 2024-02-23 | XBRL: ContractWithCustomerLiabilityNoncurrent | FY2022
https://www.sec.gov/Archives/edgar/data/1561550/000156155024000009/0001561550-24-000009-index.html</xltc:text>
  </xltc:threadedComment>
  <xltc:threadedComment ref="F25" dT="2026-07-31T13:49:56.41" personId="{96CAC97A-5D8B-467F-90F4-06A4373FE8CD}" id="{E31E4FE3-7F46-173B-DC2A-A2054ACF2F43}">
    <xltc:text>SRC-005 | SEC 10-K | Filed 2024-02-23 | XBRL: Goodwill | FY2022
https://www.sec.gov/Archives/edgar/data/1561550/000156155024000009/0001561550-24-000009-index.html</xltc:text>
  </xltc:threadedComment>
  <xltc:threadedComment ref="F26" dT="2026-07-31T13:49:56.41" personId="{96CAC97A-5D8B-467F-90F4-06A4373FE8CD}" id="{A775CED7-AC7F-A0AA-2D88-B1B8927BA734}">
    <xltc:text>SRC-005 | SEC 10-K | Filed 2024-02-23 | XBRL: FiniteLivedIntangibleAssetsNet | FY2022
https://www.sec.gov/Archives/edgar/data/1561550/000156155024000009/0001561550-24-000009-index.html</xltc:text>
  </xltc:threadedComment>
  <xltc:threadedComment ref="F27" dT="2026-07-31T13:49:56.41" personId="{96CAC97A-5D8B-467F-90F4-06A4373FE8CD}" id="{63F7D4D6-6316-17E6-F21C-67B81913FD1E}">
    <xltc:text>SRC-005 | SEC 10-K | Filed 2024-02-23 | XBRL: OperatingLeaseRightOfUseAsset | FY2022
https://www.sec.gov/Archives/edgar/data/1561550/000156155024000009/0001561550-24-000009-index.html</xltc:text>
  </xltc:threadedComment>
  <xltc:threadedComment ref="F28" dT="2026-07-31T13:49:56.41" personId="{96CAC97A-5D8B-467F-90F4-06A4373FE8CD}" id="{121FB62E-F71F-F8C8-2B68-EC0D3D4271B4}">
    <xltc:text>SRC-005 | SEC 10-K | Filed 2024-02-23 | XBRL: PropertyPlantAndEquipmentNet | FY2022
https://www.sec.gov/Archives/edgar/data/1561550/000156155024000009/0001561550-24-000009-index.html</xltc:text>
  </xltc:threadedComment>
  <xltc:threadedComment ref="G12" dT="2026-07-31T13:49:56.41" personId="{96CAC97A-5D8B-467F-90F4-06A4373FE8CD}" id="{BA9739F9-B92F-1B81-A29C-8D8088E750A5}">
    <xltc:text>SRC-006 | SEC 10-K | Filed 2025-02-20 | XBRL: Assets | FY2023
https://www.sec.gov/Archives/edgar/data/1561550/000156155025000025/0001561550-25-000025-index.html</xltc:text>
  </xltc:threadedComment>
  <xltc:threadedComment ref="G13" dT="2026-07-31T13:49:56.41" personId="{96CAC97A-5D8B-467F-90F4-06A4373FE8CD}" id="{CD639E62-AABD-F29E-34EC-E116D6721F26}">
    <xltc:text>SRC-006 | SEC 10-K | Filed 2025-02-20 | XBRL: Liabilities | FY2023
https://www.sec.gov/Archives/edgar/data/1561550/000156155025000025/0001561550-25-000025-index.html</xltc:text>
  </xltc:threadedComment>
  <xltc:threadedComment ref="G14" dT="2026-07-31T13:49:56.41" personId="{96CAC97A-5D8B-467F-90F4-06A4373FE8CD}" id="{D0081B04-A914-4810-10AB-9F909D6F277D}">
    <xltc:text>SRC-006 | SEC 10-K | Filed 2025-02-20 | XBRL: LiabilitiesAndStockholdersEquity | FY2023
https://www.sec.gov/Archives/edgar/data/1561550/000156155025000025/0001561550-25-000025-index.html</xltc:text>
  </xltc:threadedComment>
  <xltc:threadedComment ref="G15" dT="2026-07-31T13:49:56.41" personId="{96CAC97A-5D8B-467F-90F4-06A4373FE8CD}" id="{4EE62ABA-7811-53C8-D6D0-76195893CEF5}">
    <xltc:text>SRC-006 | SEC 10-K | Filed 2025-02-20 | XBRL: LiabilitiesCurrent | FY2023
https://www.sec.gov/Archives/edgar/data/1561550/000156155025000025/0001561550-25-000025-index.html</xltc:text>
  </xltc:threadedComment>
  <xltc:threadedComment ref="G16" dT="2026-07-31T13:49:56.41" personId="{96CAC97A-5D8B-467F-90F4-06A4373FE8CD}" id="{E978D77D-FD30-7758-119D-DB09CC78052C}">
    <xltc:text>SRC-007 | SEC 10-K | Filed 2026-02-18 | XBRL: StockholdersEquity | FY2023
https://www.sec.gov/Archives/edgar/data/1561550/000162828026008819/0001628280-26-008819-index.html</xltc:text>
  </xltc:threadedComment>
  <xltc:threadedComment ref="G17" dT="2026-07-31T13:49:56.41" personId="{96CAC97A-5D8B-467F-90F4-06A4373FE8CD}" id="{E6D25E0D-5851-A26A-059A-6ECACB551C61}">
    <xltc:text>SRC-006 | SEC 10-K | Filed 2025-02-20 | XBRL: CashAndCashEquivalentsAtCarryingValue | FY2023
https://www.sec.gov/Archives/edgar/data/1561550/000156155025000025/0001561550-25-000025-index.html</xltc:text>
  </xltc:threadedComment>
  <xltc:threadedComment ref="G18" dT="2026-07-31T13:49:56.41" personId="{96CAC97A-5D8B-467F-90F4-06A4373FE8CD}" id="{F907F456-2507-040D-B7E6-B8C7E0359033}">
    <xltc:text>SRC-006 | SEC 10-K | Filed 2025-02-20 | XBRL: AvailableForSaleSecuritiesDebtSecuritiesCurrent | FY2023
https://www.sec.gov/Archives/edgar/data/1561550/000156155025000025/0001561550-25-000025-index.html</xltc:text>
  </xltc:threadedComment>
  <xltc:threadedComment ref="G19" dT="2026-07-31T13:49:56.41" personId="{96CAC97A-5D8B-467F-90F4-06A4373FE8CD}" id="{B8E2BD0F-1671-CA9A-CD35-F0041267DD2C}">
    <xltc:text>SRC-006 | SEC 10-K | Filed 2025-02-20 | XBRL: ConvertibleNotesPayableCurrent | FY2023
https://www.sec.gov/Archives/edgar/data/1561550/000156155025000025/0001561550-25-000025-index.html</xltc:text>
  </xltc:threadedComment>
  <xltc:threadedComment ref="G20" dT="2026-07-31T13:49:56.41" personId="{96CAC97A-5D8B-467F-90F4-06A4373FE8CD}" id="{117EFE52-06D9-7F3B-349F-BD7F5FB04277}">
    <xltc:text>SRC-006 | SEC 10-K | Filed 2025-02-20 | XBRL: ConvertibleLongTermNotesPayable | FY2023
https://www.sec.gov/Archives/edgar/data/1561550/000156155025000025/0001561550-25-000025-index.html</xltc:text>
  </xltc:threadedComment>
  <xltc:threadedComment ref="G21" dT="2026-07-31T13:49:56.41" personId="{96CAC97A-5D8B-467F-90F4-06A4373FE8CD}" id="{A1C15230-BE74-8C08-5739-DF5244F0EF24}">
    <xltc:text>SRC-006 | SEC 10-K | Filed 2025-02-20 | XBRL: OperatingLeaseLiabilityCurrent | FY2023
https://www.sec.gov/Archives/edgar/data/1561550/000156155025000025/0001561550-25-000025-index.html</xltc:text>
  </xltc:threadedComment>
  <xltc:threadedComment ref="G22" dT="2026-07-31T13:49:56.411" personId="{96CAC97A-5D8B-467F-90F4-06A4373FE8CD}" id="{FE1BF5D7-7A54-20B0-6087-6BA5E34BB8C3}">
    <xltc:text>SRC-006 | SEC 10-K | Filed 2025-02-20 | XBRL: OperatingLeaseLiabilityNoncurrent | FY2023
https://www.sec.gov/Archives/edgar/data/1561550/000156155025000025/0001561550-25-000025-index.html</xltc:text>
  </xltc:threadedComment>
  <xltc:threadedComment ref="G23" dT="2026-07-31T13:49:56.411" personId="{96CAC97A-5D8B-467F-90F4-06A4373FE8CD}" id="{178E0655-1D0E-4EF1-ADF7-B2A812C2705E}">
    <xltc:text>SRC-006 | SEC 10-K | Filed 2025-02-20 | XBRL: ContractWithCustomerLiabilityCurrent | FY2023
https://www.sec.gov/Archives/edgar/data/1561550/000156155025000025/0001561550-25-000025-index.html</xltc:text>
  </xltc:threadedComment>
  <xltc:threadedComment ref="G24" dT="2026-07-31T13:49:56.411" personId="{96CAC97A-5D8B-467F-90F4-06A4373FE8CD}" id="{2DCC9344-B568-1AEA-5CCA-15EFF0D8B7E9}">
    <xltc:text>SRC-006 | SEC 10-K | Filed 2025-02-20 | XBRL: ContractWithCustomerLiabilityNoncurrent | FY2023
https://www.sec.gov/Archives/edgar/data/1561550/000156155025000025/0001561550-25-000025-index.html</xltc:text>
  </xltc:threadedComment>
  <xltc:threadedComment ref="G25" dT="2026-07-31T13:49:56.411" personId="{96CAC97A-5D8B-467F-90F4-06A4373FE8CD}" id="{444AD25F-128D-B838-DC30-999E43E07B5F}">
    <xltc:text>SRC-006 | SEC 10-K | Filed 2025-02-20 | XBRL: Goodwill | FY2023
https://www.sec.gov/Archives/edgar/data/1561550/000156155025000025/0001561550-25-000025-index.html</xltc:text>
  </xltc:threadedComment>
  <xltc:threadedComment ref="G26" dT="2026-07-31T13:49:56.411" personId="{96CAC97A-5D8B-467F-90F4-06A4373FE8CD}" id="{F92B29CF-24AE-A1D8-D53E-DA4A86AB3005}">
    <xltc:text>SRC-006 | SEC 10-K | Filed 2025-02-20 | XBRL: FiniteLivedIntangibleAssetsNet | FY2023
https://www.sec.gov/Archives/edgar/data/1561550/000156155025000025/0001561550-25-000025-index.html</xltc:text>
  </xltc:threadedComment>
  <xltc:threadedComment ref="G27" dT="2026-07-31T13:49:56.411" personId="{96CAC97A-5D8B-467F-90F4-06A4373FE8CD}" id="{E417956B-204E-BECE-5F03-B2825ECEBD3C}">
    <xltc:text>SRC-006 | SEC 10-K | Filed 2025-02-20 | XBRL: OperatingLeaseRightOfUseAsset | FY2023
https://www.sec.gov/Archives/edgar/data/1561550/000156155025000025/0001561550-25-000025-index.html</xltc:text>
  </xltc:threadedComment>
  <xltc:threadedComment ref="G28" dT="2026-07-31T13:49:56.411" personId="{96CAC97A-5D8B-467F-90F4-06A4373FE8CD}" id="{3A14CB1F-6A2B-0FE5-36E6-DFC3B7239B0C}">
    <xltc:text>SRC-006 | SEC 10-K | Filed 2025-02-20 | XBRL: PropertyPlantAndEquipmentNet | FY2023
https://www.sec.gov/Archives/edgar/data/1561550/000156155025000025/0001561550-25-000025-index.html</xltc:text>
  </xltc:threadedComment>
  <xltc:threadedComment ref="H12" dT="2026-07-31T13:49:56.411" personId="{96CAC97A-5D8B-467F-90F4-06A4373FE8CD}" id="{1E9BB259-920E-310C-6277-839A659F722C}">
    <xltc:text>SRC-007 | SEC 10-K | Filed 2026-02-18 | XBRL: Assets | FY2024
https://www.sec.gov/Archives/edgar/data/1561550/000162828026008819/0001628280-26-008819-index.html</xltc:text>
  </xltc:threadedComment>
  <xltc:threadedComment ref="H13" dT="2026-07-31T13:49:56.411" personId="{96CAC97A-5D8B-467F-90F4-06A4373FE8CD}" id="{13C18706-2612-39AD-328F-E6BFAD2083AD}">
    <xltc:text>SRC-007 | SEC 10-K | Filed 2026-02-18 | XBRL: Liabilities | FY2024
https://www.sec.gov/Archives/edgar/data/1561550/000162828026008819/0001628280-26-008819-index.html</xltc:text>
  </xltc:threadedComment>
  <xltc:threadedComment ref="H14" dT="2026-07-31T13:49:56.411" personId="{96CAC97A-5D8B-467F-90F4-06A4373FE8CD}" id="{47E7C27B-3DB3-BF35-FBF2-8BD72A51779E}">
    <xltc:text>SRC-007 | SEC 10-K | Filed 2026-02-18 | XBRL: LiabilitiesAndStockholdersEquity | FY2024
https://www.sec.gov/Archives/edgar/data/1561550/000162828026008819/0001628280-26-008819-index.html</xltc:text>
  </xltc:threadedComment>
  <xltc:threadedComment ref="H15" dT="2026-07-31T13:49:56.411" personId="{96CAC97A-5D8B-467F-90F4-06A4373FE8CD}" id="{A000084B-B576-0C98-3A04-CC3DE686E30C}">
    <xltc:text>SRC-007 | SEC 10-K | Filed 2026-02-18 | XBRL: LiabilitiesCurrent | FY2024
https://www.sec.gov/Archives/edgar/data/1561550/000162828026008819/0001628280-26-008819-index.html</xltc:text>
  </xltc:threadedComment>
  <xltc:threadedComment ref="H16" dT="2026-07-31T13:49:56.411" personId="{96CAC97A-5D8B-467F-90F4-06A4373FE8CD}" id="{F404CEFD-5FEC-5966-4F80-FC1BE7CAD590}">
    <xltc:text>SRC-008 | SEC 10-Q | Filed 2026-05-07 | XBRL: StockholdersEquity | FY2024
https://www.sec.gov/Archives/edgar/data/1561550/000162828026032328/0001628280-26-032328-index.html</xltc:text>
  </xltc:threadedComment>
  <xltc:threadedComment ref="H17" dT="2026-07-31T13:49:56.411" personId="{96CAC97A-5D8B-467F-90F4-06A4373FE8CD}" id="{AB6CB5BB-FCE4-65A3-FD1E-5EDE09F5B8AE}">
    <xltc:text>SRC-007 | SEC 10-K | Filed 2026-02-18 | XBRL: CashAndCashEquivalentsAtCarryingValue | FY2024
https://www.sec.gov/Archives/edgar/data/1561550/000162828026008819/0001628280-26-008819-index.html</xltc:text>
  </xltc:threadedComment>
  <xltc:threadedComment ref="H18" dT="2026-07-31T13:49:56.411" personId="{96CAC97A-5D8B-467F-90F4-06A4373FE8CD}" id="{1B19ECD5-DE95-9C2D-5AED-83195EA349D6}">
    <xltc:text>SRC-007 | SEC 10-K | Filed 2026-02-18 | XBRL: AvailableForSaleSecuritiesDebtSecuritiesCurrent | FY2024
https://www.sec.gov/Archives/edgar/data/1561550/000162828026008819/0001628280-26-008819-index.html</xltc:text>
  </xltc:threadedComment>
  <xltc:threadedComment ref="H19" dT="2026-07-31T13:49:56.411" personId="{96CAC97A-5D8B-467F-90F4-06A4373FE8CD}" id="{7E8CE900-62FE-0850-EC9E-3088D17F8175}">
    <xltc:text>SRC-007 | SEC 10-K | Filed 2026-02-18 | XBRL: ConvertibleNotesPayableCurrent | FY2024
https://www.sec.gov/Archives/edgar/data/1561550/000162828026008819/0001628280-26-008819-index.html</xltc:text>
  </xltc:threadedComment>
  <xltc:threadedComment ref="H20" dT="2026-07-31T13:49:56.411" personId="{96CAC97A-5D8B-467F-90F4-06A4373FE8CD}" id="{D4FB08AF-C124-5E94-71EB-EC884669C3A4}">
    <xltc:text>SRC-007 | SEC 10-K | Filed 2026-02-18 | XBRL: ConvertibleLongTermNotesPayable | FY2024
https://www.sec.gov/Archives/edgar/data/1561550/000162828026008819/0001628280-26-008819-index.html</xltc:text>
  </xltc:threadedComment>
  <xltc:threadedComment ref="H21" dT="2026-07-31T13:49:56.411" personId="{96CAC97A-5D8B-467F-90F4-06A4373FE8CD}" id="{5C832CAC-1627-EFE2-F724-0E5661E9661A}">
    <xltc:text>SRC-007 | SEC 10-K | Filed 2026-02-18 | XBRL: OperatingLeaseLiabilityCurrent | FY2024
https://www.sec.gov/Archives/edgar/data/1561550/000162828026008819/0001628280-26-008819-index.html</xltc:text>
  </xltc:threadedComment>
  <xltc:threadedComment ref="H22" dT="2026-07-31T13:49:56.411" personId="{96CAC97A-5D8B-467F-90F4-06A4373FE8CD}" id="{6276B366-4505-60F5-6613-6205240E145C}">
    <xltc:text>SRC-007 | SEC 10-K | Filed 2026-02-18 | XBRL: OperatingLeaseLiabilityNoncurrent | FY2024
https://www.sec.gov/Archives/edgar/data/1561550/000162828026008819/0001628280-26-008819-index.html</xltc:text>
  </xltc:threadedComment>
  <xltc:threadedComment ref="H23" dT="2026-07-31T13:49:56.411" personId="{96CAC97A-5D8B-467F-90F4-06A4373FE8CD}" id="{C6E86D7D-503E-7547-723A-20024ADD68FF}">
    <xltc:text>SRC-007 | SEC 10-K | Filed 2026-02-18 | XBRL: ContractWithCustomerLiabilityCurrent | FY2024
https://www.sec.gov/Archives/edgar/data/1561550/000162828026008819/0001628280-26-008819-index.html</xltc:text>
  </xltc:threadedComment>
  <xltc:threadedComment ref="H24" dT="2026-07-31T13:49:56.411" personId="{96CAC97A-5D8B-467F-90F4-06A4373FE8CD}" id="{3984EAD6-F3DC-4CFF-E4F8-E1FBFBCBB139}">
    <xltc:text>SRC-007 | SEC 10-K | Filed 2026-02-18 | XBRL: ContractWithCustomerLiabilityNoncurrent | FY2024
https://www.sec.gov/Archives/edgar/data/1561550/000162828026008819/0001628280-26-008819-index.html</xltc:text>
  </xltc:threadedComment>
  <xltc:threadedComment ref="H25" dT="2026-07-31T13:49:56.411" personId="{96CAC97A-5D8B-467F-90F4-06A4373FE8CD}" id="{49BAA7BB-400D-C041-C945-C91680841D24}">
    <xltc:text>SRC-007 | SEC 10-K | Filed 2026-02-18 | XBRL: Goodwill | FY2024
https://www.sec.gov/Archives/edgar/data/1561550/000162828026008819/0001628280-26-008819-index.html</xltc:text>
  </xltc:threadedComment>
  <xltc:threadedComment ref="H26" dT="2026-07-31T13:49:56.411" personId="{96CAC97A-5D8B-467F-90F4-06A4373FE8CD}" id="{DEDD283C-9690-5F41-8D4D-0C2319EAFDF5}">
    <xltc:text>SRC-007 | SEC 10-K | Filed 2026-02-18 | XBRL: FiniteLivedIntangibleAssetsNet | FY2024
https://www.sec.gov/Archives/edgar/data/1561550/000162828026008819/0001628280-26-008819-index.html</xltc:text>
  </xltc:threadedComment>
  <xltc:threadedComment ref="H27" dT="2026-07-31T13:49:56.411" personId="{96CAC97A-5D8B-467F-90F4-06A4373FE8CD}" id="{8DB5F6B3-9CB0-356F-0491-4622ED66BCF0}">
    <xltc:text>SRC-007 | SEC 10-K | Filed 2026-02-18 | XBRL: OperatingLeaseRightOfUseAsset | FY2024
https://www.sec.gov/Archives/edgar/data/1561550/000162828026008819/0001628280-26-008819-index.html</xltc:text>
  </xltc:threadedComment>
  <xltc:threadedComment ref="H28" dT="2026-07-31T13:49:56.411" personId="{96CAC97A-5D8B-467F-90F4-06A4373FE8CD}" id="{B6E39D67-D61A-B2AF-7C33-7CF98833779A}">
    <xltc:text>SRC-007 | SEC 10-K | Filed 2026-02-18 | XBRL: PropertyPlantAndEquipmentNet | FY2024
https://www.sec.gov/Archives/edgar/data/1561550/000162828026008819/0001628280-26-008819-index.html</xltc:text>
  </xltc:threadedComment>
  <xltc:threadedComment ref="I12" dT="2026-07-31T13:49:56.411" personId="{96CAC97A-5D8B-467F-90F4-06A4373FE8CD}" id="{32FBC268-C4C6-563F-72D0-87AAB72CD93B}">
    <xltc:text>SRC-008 | SEC 10-Q | Filed 2026-05-07 | XBRL: Assets | FY2025
https://www.sec.gov/Archives/edgar/data/1561550/000162828026032328/0001628280-26-032328-index.html</xltc:text>
  </xltc:threadedComment>
  <xltc:threadedComment ref="I13" dT="2026-07-31T13:49:56.411" personId="{96CAC97A-5D8B-467F-90F4-06A4373FE8CD}" id="{5C8C409D-780D-FF91-AD41-7B2EF4E8AC3A}">
    <xltc:text>SRC-008 | SEC 10-Q | Filed 2026-05-07 | XBRL: Liabilities | FY2025
https://www.sec.gov/Archives/edgar/data/1561550/000162828026032328/0001628280-26-032328-index.html</xltc:text>
  </xltc:threadedComment>
  <xltc:threadedComment ref="I14" dT="2026-07-31T13:49:56.411" personId="{96CAC97A-5D8B-467F-90F4-06A4373FE8CD}" id="{0B69E4D4-6DF2-564A-CEFE-CBD5C4B6D8EE}">
    <xltc:text>SRC-008 | SEC 10-Q | Filed 2026-05-07 | XBRL: LiabilitiesAndStockholdersEquity | FY2025
https://www.sec.gov/Archives/edgar/data/1561550/000162828026032328/0001628280-26-032328-index.html</xltc:text>
  </xltc:threadedComment>
  <xltc:threadedComment ref="I15" dT="2026-07-31T13:49:56.411" personId="{96CAC97A-5D8B-467F-90F4-06A4373FE8CD}" id="{C16F7C4A-FC55-DD74-48A1-B92D67A74D3E}">
    <xltc:text>SRC-008 | SEC 10-Q | Filed 2026-05-07 | XBRL: LiabilitiesCurrent | FY2025
https://www.sec.gov/Archives/edgar/data/1561550/000162828026032328/0001628280-26-032328-index.html</xltc:text>
  </xltc:threadedComment>
  <xltc:threadedComment ref="I16" dT="2026-07-31T13:49:56.411" personId="{96CAC97A-5D8B-467F-90F4-06A4373FE8CD}" id="{326CEEB8-E5C6-C4D4-5D02-1B111B182DDF}">
    <xltc:text>SRC-008 | SEC 10-Q | Filed 2026-05-07 | XBRL: StockholdersEquity | FY2025
https://www.sec.gov/Archives/edgar/data/1561550/000162828026032328/0001628280-26-032328-index.html</xltc:text>
  </xltc:threadedComment>
  <xltc:threadedComment ref="I17" dT="2026-07-31T13:49:56.411" personId="{96CAC97A-5D8B-467F-90F4-06A4373FE8CD}" id="{F9F91871-FD8F-2185-27E4-2C4777E4EEE8}">
    <xltc:text>SRC-008 | SEC 10-Q | Filed 2026-05-07 | XBRL: CashAndCashEquivalentsAtCarryingValue | FY2025
https://www.sec.gov/Archives/edgar/data/1561550/000162828026032328/0001628280-26-032328-index.html</xltc:text>
  </xltc:threadedComment>
  <xltc:threadedComment ref="I18" dT="2026-07-31T13:49:56.411" personId="{96CAC97A-5D8B-467F-90F4-06A4373FE8CD}" id="{BF6B8806-03F2-5D6A-8A60-E63E37D2B7C3}">
    <xltc:text>SRC-008 | SEC 10-Q | Filed 2026-05-07 | XBRL: AvailableForSaleSecuritiesDebtSecuritiesCurrent | FY2025
https://www.sec.gov/Archives/edgar/data/1561550/000162828026032328/0001628280-26-032328-index.html</xltc:text>
  </xltc:threadedComment>
  <xltc:threadedComment ref="I19" dT="2026-07-31T13:49:56.411" personId="{96CAC97A-5D8B-467F-90F4-06A4373FE8CD}" id="{6AA752DB-54E3-AA92-9768-6D18829E88B7}">
    <xltc:text>SRC-007 | SEC 10-K | Filed 2026-02-18 | XBRL: ConvertibleNotesPayableCurrent | FY2025
https://www.sec.gov/Archives/edgar/data/1561550/000162828026008819/0001628280-26-008819-index.html</xltc:text>
  </xltc:threadedComment>
  <xltc:threadedComment ref="I20" dT="2026-07-31T13:49:56.411" personId="{96CAC97A-5D8B-467F-90F4-06A4373FE8CD}" id="{9EB7DAE6-BAEE-A49D-BE3F-E56E82A422B6}">
    <xltc:text>SRC-008 | SEC 10-Q | Filed 2026-05-07 | XBRL: ConvertibleLongTermNotesPayable | FY2025
https://www.sec.gov/Archives/edgar/data/1561550/000162828026032328/0001628280-26-032328-index.html</xltc:text>
  </xltc:threadedComment>
  <xltc:threadedComment ref="I21" dT="2026-07-31T13:49:56.411" personId="{96CAC97A-5D8B-467F-90F4-06A4373FE8CD}" id="{DB7DF8F9-4364-EA30-067A-BB97CA4F5D8E}">
    <xltc:text>SRC-008 | SEC 10-Q | Filed 2026-05-07 | XBRL: OperatingLeaseLiabilityCurrent | FY2025
https://www.sec.gov/Archives/edgar/data/1561550/000162828026032328/0001628280-26-032328-index.html</xltc:text>
  </xltc:threadedComment>
  <xltc:threadedComment ref="I22" dT="2026-07-31T13:49:56.411" personId="{96CAC97A-5D8B-467F-90F4-06A4373FE8CD}" id="{5A2CAE2D-70B7-DBD0-A215-419E420209B3}">
    <xltc:text>SRC-008 | SEC 10-Q | Filed 2026-05-07 | XBRL: OperatingLeaseLiabilityNoncurrent | FY2025
https://www.sec.gov/Archives/edgar/data/1561550/000162828026032328/0001628280-26-032328-index.html</xltc:text>
  </xltc:threadedComment>
  <xltc:threadedComment ref="I23" dT="2026-07-31T13:49:56.411" personId="{96CAC97A-5D8B-467F-90F4-06A4373FE8CD}" id="{E14DA634-D6E6-E01C-B533-3FF6BF9A7678}">
    <xltc:text>SRC-008 | SEC 10-Q | Filed 2026-05-07 | XBRL: ContractWithCustomerLiabilityCurrent | FY2025
https://www.sec.gov/Archives/edgar/data/1561550/000162828026032328/0001628280-26-032328-index.html</xltc:text>
  </xltc:threadedComment>
  <xltc:threadedComment ref="I24" dT="2026-07-31T13:49:56.411" personId="{96CAC97A-5D8B-467F-90F4-06A4373FE8CD}" id="{AE9B96B8-FC25-F40C-C721-71A02FB4CC91}">
    <xltc:text>SRC-008 | SEC 10-Q | Filed 2026-05-07 | XBRL: ContractWithCustomerLiabilityNoncurrent | FY2025
https://www.sec.gov/Archives/edgar/data/1561550/000162828026032328/0001628280-26-032328-index.html</xltc:text>
  </xltc:threadedComment>
  <xltc:threadedComment ref="I25" dT="2026-07-31T13:49:56.411" personId="{96CAC97A-5D8B-467F-90F4-06A4373FE8CD}" id="{A2000EE0-F4F3-A778-5F92-AD4B1950BED4}">
    <xltc:text>SRC-008 | SEC 10-Q | Filed 2026-05-07 | XBRL: Goodwill | FY2025
https://www.sec.gov/Archives/edgar/data/1561550/000162828026032328/0001628280-26-032328-index.html</xltc:text>
  </xltc:threadedComment>
  <xltc:threadedComment ref="I26" dT="2026-07-31T13:49:56.411" personId="{96CAC97A-5D8B-467F-90F4-06A4373FE8CD}" id="{7EB459CD-A945-3627-811B-D3F278FA6579}">
    <xltc:text>SRC-008 | SEC 10-Q | Filed 2026-05-07 | XBRL: FiniteLivedIntangibleAssetsNet | FY2025
https://www.sec.gov/Archives/edgar/data/1561550/000162828026032328/0001628280-26-032328-index.html</xltc:text>
  </xltc:threadedComment>
  <xltc:threadedComment ref="I27" dT="2026-07-31T13:49:56.411" personId="{96CAC97A-5D8B-467F-90F4-06A4373FE8CD}" id="{BB187AE8-1ED3-4099-786D-6C34BE239539}">
    <xltc:text>SRC-008 | SEC 10-Q | Filed 2026-05-07 | XBRL: OperatingLeaseRightOfUseAsset | FY2025
https://www.sec.gov/Archives/edgar/data/1561550/000162828026032328/0001628280-26-032328-index.html</xltc:text>
  </xltc:threadedComment>
  <xltc:threadedComment ref="I28" dT="2026-07-31T13:49:56.412" personId="{96CAC97A-5D8B-467F-90F4-06A4373FE8CD}" id="{4CA0F6E3-0D37-07F6-DC63-23D6A0F03AEA}">
    <xltc:text>SRC-008 | SEC 10-Q | Filed 2026-05-07 | XBRL: PropertyPlantAndEquipmentNet | FY2025
https://www.sec.gov/Archives/edgar/data/1561550/000162828026032328/0001628280-26-032328-index.html</xltc:text>
  </xltc:threadedComment>
  <xltc:threadedComment ref="J12" dT="2026-07-31T13:49:56.412" personId="{96CAC97A-5D8B-467F-90F4-06A4373FE8CD}" id="{832E4297-F5E7-FBBD-4AAC-96D9C391A259}">
    <xltc:text>SRC-008 | SEC 10-Q | Filed 2026-05-07 | XBRL: Assets | Q1 2026
https://www.sec.gov/Archives/edgar/data/1561550/000162828026032328/0001628280-26-032328-index.html</xltc:text>
  </xltc:threadedComment>
  <xltc:threadedComment ref="J13" dT="2026-07-31T13:49:56.412" personId="{96CAC97A-5D8B-467F-90F4-06A4373FE8CD}" id="{71AFFA9D-BAC4-51E4-7740-9BD5D135CFFB}">
    <xltc:text>SRC-008 | SEC 10-Q | Filed 2026-05-07 | XBRL: Liabilities | Q1 2026
https://www.sec.gov/Archives/edgar/data/1561550/000162828026032328/0001628280-26-032328-index.html</xltc:text>
  </xltc:threadedComment>
  <xltc:threadedComment ref="J14" dT="2026-07-31T13:49:56.412" personId="{96CAC97A-5D8B-467F-90F4-06A4373FE8CD}" id="{EE76953E-ACA6-7ED5-11E2-0F65E0B686D6}">
    <xltc:text>SRC-008 | SEC 10-Q | Filed 2026-05-07 | XBRL: LiabilitiesAndStockholdersEquity | Q1 2026
https://www.sec.gov/Archives/edgar/data/1561550/000162828026032328/0001628280-26-032328-index.html</xltc:text>
  </xltc:threadedComment>
  <xltc:threadedComment ref="J15" dT="2026-07-31T13:49:56.412" personId="{96CAC97A-5D8B-467F-90F4-06A4373FE8CD}" id="{9A449D19-683E-E9F3-A468-665776C17A80}">
    <xltc:text>SRC-008 | SEC 10-Q | Filed 2026-05-07 | XBRL: LiabilitiesCurrent | Q1 2026
https://www.sec.gov/Archives/edgar/data/1561550/000162828026032328/0001628280-26-032328-index.html</xltc:text>
  </xltc:threadedComment>
  <xltc:threadedComment ref="J16" dT="2026-07-31T13:49:56.412" personId="{96CAC97A-5D8B-467F-90F4-06A4373FE8CD}" id="{5F8B00F7-AF9A-4C5B-F985-88A9B408F42F}">
    <xltc:text>SRC-008 | SEC 10-Q | Filed 2026-05-07 | XBRL: StockholdersEquity | Q1 2026
https://www.sec.gov/Archives/edgar/data/1561550/000162828026032328/0001628280-26-032328-index.html</xltc:text>
  </xltc:threadedComment>
  <xltc:threadedComment ref="J17" dT="2026-07-31T13:49:56.412" personId="{96CAC97A-5D8B-467F-90F4-06A4373FE8CD}" id="{BA5117CE-2642-BD97-9DB9-6746D7B07529}">
    <xltc:text>SRC-008 | SEC 10-Q | Filed 2026-05-07 | XBRL: CashAndCashEquivalentsAtCarryingValue | Q1 2026
https://www.sec.gov/Archives/edgar/data/1561550/000162828026032328/0001628280-26-032328-index.html</xltc:text>
  </xltc:threadedComment>
  <xltc:threadedComment ref="J18" dT="2026-07-31T13:49:56.412" personId="{96CAC97A-5D8B-467F-90F4-06A4373FE8CD}" id="{F50A9A87-689F-B4BD-C269-52B86964EAE9}">
    <xltc:text>SRC-008 | SEC 10-Q | Filed 2026-05-07 | XBRL: AvailableForSaleSecuritiesDebtSecuritiesCurrent | Q1 2026
https://www.sec.gov/Archives/edgar/data/1561550/000162828026032328/0001628280-26-032328-index.html</xltc:text>
  </xltc:threadedComment>
  <xltc:threadedComment ref="J19" dT="2026-07-31T13:49:56.412" personId="{96CAC97A-5D8B-467F-90F4-06A4373FE8CD}" id="{39FB3A02-78B3-FFD8-29C0-BCB65381B31A}">
    <xltc:text>Source gap: Convertible debt — current was not separately tagged in SEC Companyfacts for Q1 2026. The source cell is left blank; model SUM formulas treat the blank as zero only where no separate balance was reported.</xltc:text>
  </xltc:threadedComment>
  <xltc:threadedComment ref="J20" dT="2026-07-31T13:49:56.412" personId="{96CAC97A-5D8B-467F-90F4-06A4373FE8CD}" id="{F0FB8BCD-B559-C01A-1545-934D3F11C0DE}">
    <xltc:text>SRC-008 | SEC 10-Q | Filed 2026-05-07 | XBRL: ConvertibleLongTermNotesPayable | Q1 2026
https://www.sec.gov/Archives/edgar/data/1561550/000162828026032328/0001628280-26-032328-index.html</xltc:text>
  </xltc:threadedComment>
  <xltc:threadedComment ref="J21" dT="2026-07-31T13:49:56.412" personId="{96CAC97A-5D8B-467F-90F4-06A4373FE8CD}" id="{87520223-DEAE-8FA4-61A6-7FA7FD727CC3}">
    <xltc:text>SRC-008 | SEC 10-Q | Filed 2026-05-07 | XBRL: OperatingLeaseLiabilityCurrent | Q1 2026
https://www.sec.gov/Archives/edgar/data/1561550/000162828026032328/0001628280-26-032328-index.html</xltc:text>
  </xltc:threadedComment>
  <xltc:threadedComment ref="J22" dT="2026-07-31T13:49:56.412" personId="{96CAC97A-5D8B-467F-90F4-06A4373FE8CD}" id="{A609C156-01D0-0499-1469-ACC8A56C6234}">
    <xltc:text>SRC-008 | SEC 10-Q | Filed 2026-05-07 | XBRL: OperatingLeaseLiabilityNoncurrent | Q1 2026
https://www.sec.gov/Archives/edgar/data/1561550/000162828026032328/0001628280-26-032328-index.html</xltc:text>
  </xltc:threadedComment>
  <xltc:threadedComment ref="J23" dT="2026-07-31T13:49:56.412" personId="{96CAC97A-5D8B-467F-90F4-06A4373FE8CD}" id="{97765E44-139D-1948-B351-820FD7D5E443}">
    <xltc:text>SRC-008 | SEC 10-Q | Filed 2026-05-07 | XBRL: ContractWithCustomerLiabilityCurrent | Q1 2026
https://www.sec.gov/Archives/edgar/data/1561550/000162828026032328/0001628280-26-032328-index.html</xltc:text>
  </xltc:threadedComment>
  <xltc:threadedComment ref="J24" dT="2026-07-31T13:49:56.412" personId="{96CAC97A-5D8B-467F-90F4-06A4373FE8CD}" id="{78D0DECD-7E97-28C3-8862-C00B4FE21671}">
    <xltc:text>SRC-008 | SEC 10-Q | Filed 2026-05-07 | XBRL: ContractWithCustomerLiabilityNoncurrent | Q1 2026
https://www.sec.gov/Archives/edgar/data/1561550/000162828026032328/0001628280-26-032328-index.html</xltc:text>
  </xltc:threadedComment>
  <xltc:threadedComment ref="J25" dT="2026-07-31T13:49:56.412" personId="{96CAC97A-5D8B-467F-90F4-06A4373FE8CD}" id="{1F50A161-F35D-A8EF-87C7-81590E755E2A}">
    <xltc:text>SRC-008 | SEC 10-Q | Filed 2026-05-07 | XBRL: Goodwill | Q1 2026
https://www.sec.gov/Archives/edgar/data/1561550/000162828026032328/0001628280-26-032328-index.html</xltc:text>
  </xltc:threadedComment>
  <xltc:threadedComment ref="J26" dT="2026-07-31T13:49:56.412" personId="{96CAC97A-5D8B-467F-90F4-06A4373FE8CD}" id="{6DD494D6-27F9-5B2D-CDCD-AA716F060FB0}">
    <xltc:text>SRC-008 | SEC 10-Q | Filed 2026-05-07 | XBRL: FiniteLivedIntangibleAssetsNet | Q1 2026
https://www.sec.gov/Archives/edgar/data/1561550/000162828026032328/0001628280-26-032328-index.html</xltc:text>
  </xltc:threadedComment>
  <xltc:threadedComment ref="J27" dT="2026-07-31T13:49:56.412" personId="{96CAC97A-5D8B-467F-90F4-06A4373FE8CD}" id="{3B87CD99-801F-2DD9-72ED-07415B3C394D}">
    <xltc:text>SRC-008 | SEC 10-Q | Filed 2026-05-07 | XBRL: OperatingLeaseRightOfUseAsset | Q1 2026
https://www.sec.gov/Archives/edgar/data/1561550/000162828026032328/0001628280-26-032328-index.html</xltc:text>
  </xltc:threadedComment>
  <xltc:threadedComment ref="J28" dT="2026-07-31T13:49:56.412" personId="{96CAC97A-5D8B-467F-90F4-06A4373FE8CD}" id="{551B7323-354A-5A47-FC5F-D58D21AC9052}">
    <xltc:text>SRC-008 | SEC 10-Q | Filed 2026-05-07 | XBRL: PropertyPlantAndEquipmentNet | Q1 2026
https://www.sec.gov/Archives/edgar/data/1561550/000162828026032328/0001628280-26-032328-index.html</xltc:text>
  </xltc:threadedComment>
  <xltc:threadedComment ref="C31" dT="2026-07-31T13:49:56.414" personId="{96CAC97A-5D8B-467F-90F4-06A4373FE8CD}" id="{02D01E37-6D9C-EF3A-AD05-2DAC5E671593}">
    <xltc:text>SRC-003 | SEC 10-K | Filed 2022-02-25 | XBRL: RevenueFromContractWithCustomerExcludingAssessedTax | FY2019
https://www.sec.gov/Archives/edgar/data/1561550/000156155022000009/0001561550-22-000009-index.html</xltc:text>
  </xltc:threadedComment>
  <xltc:threadedComment ref="C32" dT="2026-07-31T13:49:56.414" personId="{96CAC97A-5D8B-467F-90F4-06A4373FE8CD}" id="{AB5E9EAF-653F-7365-4C74-D3572FB6D885}">
    <xltc:text>SRC-003 | SEC 10-K | Filed 2022-02-25 | XBRL: OperatingIncomeLoss | FY2019
https://www.sec.gov/Archives/edgar/data/1561550/000156155022000009/0001561550-22-000009-index.html</xltc:text>
  </xltc:threadedComment>
  <xltc:threadedComment ref="C33" dT="2026-07-31T13:49:56.414" personId="{96CAC97A-5D8B-467F-90F4-06A4373FE8CD}" id="{D80FDA66-014A-B33F-493A-A6D0056AE080}">
    <xltc:text>SRC-003 | SEC 10-K | Filed 2022-02-25 | XBRL: ResearchAndDevelopmentExpense | FY2019
https://www.sec.gov/Archives/edgar/data/1561550/000156155022000009/0001561550-22-000009-index.html</xltc:text>
  </xltc:threadedComment>
  <xltc:threadedComment ref="D31" dT="2026-07-31T13:49:56.414" personId="{96CAC97A-5D8B-467F-90F4-06A4373FE8CD}" id="{6D0CA342-BC93-DC40-A79D-B21B4354B1AE}">
    <xltc:text>SRC-004 | SEC 10-K | Filed 2023-02-24 | XBRL: RevenueFromContractWithCustomerExcludingAssessedTax | FY2020
https://www.sec.gov/Archives/edgar/data/1561550/000156155023000006/0001561550-23-000006-index.html</xltc:text>
  </xltc:threadedComment>
  <xltc:threadedComment ref="D32" dT="2026-07-31T13:49:56.414" personId="{96CAC97A-5D8B-467F-90F4-06A4373FE8CD}" id="{6FAB54B5-B47B-5CDA-DD3D-DEC148FAA0C8}">
    <xltc:text>SRC-004 | SEC 10-K | Filed 2023-02-24 | XBRL: OperatingIncomeLoss | FY2020
https://www.sec.gov/Archives/edgar/data/1561550/000156155023000006/0001561550-23-000006-index.html</xltc:text>
  </xltc:threadedComment>
  <xltc:threadedComment ref="D33" dT="2026-07-31T13:49:56.414" personId="{96CAC97A-5D8B-467F-90F4-06A4373FE8CD}" id="{D4457EEB-A049-CDC4-622D-2F766AABC2BE}">
    <xltc:text>SRC-004 | SEC 10-K | Filed 2023-02-24 | XBRL: ResearchAndDevelopmentExpense | FY2020
https://www.sec.gov/Archives/edgar/data/1561550/000156155023000006/0001561550-23-000006-index.html</xltc:text>
  </xltc:threadedComment>
  <xltc:threadedComment ref="E31" dT="2026-07-31T13:49:56.414" personId="{96CAC97A-5D8B-467F-90F4-06A4373FE8CD}" id="{F6BCAE4E-6BD7-15A0-78AB-373E65FE77BF}">
    <xltc:text>SRC-005 | SEC 10-K | Filed 2024-02-23 | XBRL: RevenueFromContractWithCustomerExcludingAssessedTax | FY2021
https://www.sec.gov/Archives/edgar/data/1561550/000156155024000009/0001561550-24-000009-index.html</xltc:text>
  </xltc:threadedComment>
  <xltc:threadedComment ref="E32" dT="2026-07-31T13:49:56.414" personId="{96CAC97A-5D8B-467F-90F4-06A4373FE8CD}" id="{99B957DE-8626-A17B-A72B-80182DBB6699}">
    <xltc:text>SRC-005 | SEC 10-K | Filed 2024-02-23 | XBRL: OperatingIncomeLoss | FY2021
https://www.sec.gov/Archives/edgar/data/1561550/000156155024000009/0001561550-24-000009-index.html</xltc:text>
  </xltc:threadedComment>
  <xltc:threadedComment ref="E33" dT="2026-07-31T13:49:56.414" personId="{96CAC97A-5D8B-467F-90F4-06A4373FE8CD}" id="{E422B82F-4446-FEBC-71F5-3BAA34F7DEB9}">
    <xltc:text>SRC-005 | SEC 10-K | Filed 2024-02-23 | XBRL: ResearchAndDevelopmentExpense | FY2021
https://www.sec.gov/Archives/edgar/data/1561550/000156155024000009/0001561550-24-000009-index.html</xltc:text>
  </xltc:threadedComment>
  <xltc:threadedComment ref="F31" dT="2026-07-31T13:49:56.414" personId="{96CAC97A-5D8B-467F-90F4-06A4373FE8CD}" id="{77D93401-A033-27AB-05F4-6DCD8E48573F}">
    <xltc:text>SRC-006 | SEC 10-K | Filed 2025-02-20 | XBRL: RevenueFromContractWithCustomerExcludingAssessedTax | FY2022
https://www.sec.gov/Archives/edgar/data/1561550/000156155025000025/0001561550-25-000025-index.html</xltc:text>
  </xltc:threadedComment>
  <xltc:threadedComment ref="F32" dT="2026-07-31T13:49:56.414" personId="{96CAC97A-5D8B-467F-90F4-06A4373FE8CD}" id="{38541C44-01E1-0948-D38B-71E3B29A9F81}">
    <xltc:text>SRC-006 | SEC 10-K | Filed 2025-02-20 | XBRL: OperatingIncomeLoss | FY2022
https://www.sec.gov/Archives/edgar/data/1561550/000156155025000025/0001561550-25-000025-index.html</xltc:text>
  </xltc:threadedComment>
  <xltc:threadedComment ref="F33" dT="2026-07-31T13:49:56.414" personId="{96CAC97A-5D8B-467F-90F4-06A4373FE8CD}" id="{78C650E0-42B8-65FE-8845-BBDF60907B96}">
    <xltc:text>SRC-006 | SEC 10-K | Filed 2025-02-20 | XBRL: ResearchAndDevelopmentExpense | FY2022
https://www.sec.gov/Archives/edgar/data/1561550/000156155025000025/0001561550-25-000025-index.html</xltc:text>
  </xltc:threadedComment>
  <xltc:threadedComment ref="G31" dT="2026-07-31T13:49:56.414" personId="{96CAC97A-5D8B-467F-90F4-06A4373FE8CD}" id="{0B659679-B204-1C1B-9F76-455B81D1ABC9}">
    <xltc:text>SRC-007 | SEC 10-K | Filed 2026-02-18 | XBRL: RevenueFromContractWithCustomerExcludingAssessedTax | FY2023
https://www.sec.gov/Archives/edgar/data/1561550/000162828026008819/0001628280-26-008819-index.html</xltc:text>
  </xltc:threadedComment>
  <xltc:threadedComment ref="G32" dT="2026-07-31T13:49:56.414" personId="{96CAC97A-5D8B-467F-90F4-06A4373FE8CD}" id="{15F0C31A-F974-1ECC-BF59-D4646DA2A18B}">
    <xltc:text>SRC-007 | SEC 10-K | Filed 2026-02-18 | XBRL: OperatingIncomeLoss | FY2023
https://www.sec.gov/Archives/edgar/data/1561550/000162828026008819/0001628280-26-008819-index.html</xltc:text>
  </xltc:threadedComment>
  <xltc:threadedComment ref="G33" dT="2026-07-31T13:49:56.414" personId="{96CAC97A-5D8B-467F-90F4-06A4373FE8CD}" id="{40BC718D-F839-BC0F-D78B-04CAB4BEBC1B}">
    <xltc:text>SRC-007 | SEC 10-K | Filed 2026-02-18 | XBRL: ResearchAndDevelopmentExpense | FY2023
https://www.sec.gov/Archives/edgar/data/1561550/000162828026008819/0001628280-26-008819-index.html</xltc:text>
  </xltc:threadedComment>
  <xltc:threadedComment ref="H31" dT="2026-07-31T13:49:56.414" personId="{96CAC97A-5D8B-467F-90F4-06A4373FE8CD}" id="{DEA018C2-C431-6299-4C1B-70B0F6BD76C6}">
    <xltc:text>SRC-007 | SEC 10-K | Filed 2026-02-18 | XBRL: RevenueFromContractWithCustomerExcludingAssessedTax | FY2024
https://www.sec.gov/Archives/edgar/data/1561550/000162828026008819/0001628280-26-008819-index.html</xltc:text>
  </xltc:threadedComment>
  <xltc:threadedComment ref="H32" dT="2026-07-31T13:49:56.414" personId="{96CAC97A-5D8B-467F-90F4-06A4373FE8CD}" id="{EF7B39AA-3BE9-9CC9-D389-421DA8DDF0F4}">
    <xltc:text>SRC-007 | SEC 10-K | Filed 2026-02-18 | XBRL: OperatingIncomeLoss | FY2024
https://www.sec.gov/Archives/edgar/data/1561550/000162828026008819/0001628280-26-008819-index.html</xltc:text>
  </xltc:threadedComment>
  <xltc:threadedComment ref="H33" dT="2026-07-31T13:49:56.414" personId="{96CAC97A-5D8B-467F-90F4-06A4373FE8CD}" id="{E9761A3E-A35A-91B6-2746-61A48933F258}">
    <xltc:text>SRC-007 | SEC 10-K | Filed 2026-02-18 | XBRL: ResearchAndDevelopmentExpense | FY2024
https://www.sec.gov/Archives/edgar/data/1561550/000162828026008819/0001628280-26-008819-index.html</xltc:text>
  </xltc:threadedComment>
  <xltc:threadedComment ref="I31" dT="2026-07-31T13:49:56.414" personId="{96CAC97A-5D8B-467F-90F4-06A4373FE8CD}" id="{B5F655D8-7E82-D758-D484-3678B81DC42F}">
    <xltc:text>SRC-007 | SEC 10-K | Filed 2026-02-18 | XBRL: RevenueFromContractWithCustomerExcludingAssessedTax | FY2025
https://www.sec.gov/Archives/edgar/data/1561550/000162828026008819/0001628280-26-008819-index.html</xltc:text>
  </xltc:threadedComment>
  <xltc:threadedComment ref="I32" dT="2026-07-31T13:49:56.414" personId="{96CAC97A-5D8B-467F-90F4-06A4373FE8CD}" id="{297654AF-8AFF-0306-E9EE-161BC160656E}">
    <xltc:text>SRC-007 | SEC 10-K | Filed 2026-02-18 | XBRL: OperatingIncomeLoss | FY2025
https://www.sec.gov/Archives/edgar/data/1561550/000162828026008819/0001628280-26-008819-index.html</xltc:text>
  </xltc:threadedComment>
  <xltc:threadedComment ref="I33" dT="2026-07-31T13:49:56.414" personId="{96CAC97A-5D8B-467F-90F4-06A4373FE8CD}" id="{BFB77CFA-E660-A561-CF8E-AF49C91B453C}">
    <xltc:text>SRC-007 | SEC 10-K | Filed 2026-02-18 | XBRL: ResearchAndDevelopmentExpense | FY2025
https://www.sec.gov/Archives/edgar/data/1561550/000162828026008819/0001628280-26-008819-index.html</xltc:text>
  </xltc:threadedComment>
  <xltc:threadedComment ref="J31" dT="2026-07-31T13:49:56.414" personId="{96CAC97A-5D8B-467F-90F4-06A4373FE8CD}" id="{86ED363E-ED71-547F-AB34-F4DB84821285}">
    <xltc:text>SRC-008 | SEC 10-Q | Filed 2026-05-07 | XBRL: RevenueFromContractWithCustomerExcludingAssessedTax | Q1 2026
https://www.sec.gov/Archives/edgar/data/1561550/000162828026032328/0001628280-26-032328-index.html</xltc:text>
  </xltc:threadedComment>
  <xltc:threadedComment ref="J32" dT="2026-07-31T13:49:56.414" personId="{96CAC97A-5D8B-467F-90F4-06A4373FE8CD}" id="{F8C885EE-AEEC-13CD-97E2-853314E18E60}">
    <xltc:text>SRC-008 | SEC 10-Q | Filed 2026-05-07 | XBRL: OperatingIncomeLoss | Q1 2026
https://www.sec.gov/Archives/edgar/data/1561550/000162828026032328/0001628280-26-032328-index.html</xltc:text>
  </xltc:threadedComment>
  <xltc:threadedComment ref="J33" dT="2026-07-31T13:49:56.414" personId="{96CAC97A-5D8B-467F-90F4-06A4373FE8CD}" id="{066029F9-B3D2-B9FF-4216-C5CBBA5E36EC}">
    <xltc:text>SRC-008 | SEC 10-Q | Filed 2026-05-07 | XBRL: ResearchAndDevelopmentExpense | Q1 2026
https://www.sec.gov/Archives/edgar/data/1561550/000162828026032328/0001628280-26-032328-index.html</xltc:text>
  </xltc:threadedComment>
  <xltc:threadedComment ref="B38" dT="2026-07-31T13:49:56.416" personId="{96CAC97A-5D8B-467F-90F4-06A4373FE8CD}" id="{BE2BBFA8-BAE8-6AE2-7530-7CF9B9C96281}">
    <xltc:text>SRC-008 | SEC 10-Q | Filed 2026-05-07 | XBRL: RevenueFromContractWithCustomerExcludingAssessedTax | Q1 2025
https://www.sec.gov/Archives/edgar/data/1561550/000162828026032328/0001628280-26-032328-index.html</xltc:text>
  </xltc:threadedComment>
  <xltc:threadedComment ref="B39" dT="2026-07-31T13:49:56.416" personId="{96CAC97A-5D8B-467F-90F4-06A4373FE8CD}" id="{E7F4D5BE-5046-5E9D-1385-4858C834F036}">
    <xltc:text>SRC-008 | SEC 10-Q | Filed 2026-05-07 | XBRL: OperatingIncomeLoss | Q1 2025
https://www.sec.gov/Archives/edgar/data/1561550/000162828026032328/0001628280-26-032328-index.html</xltc:text>
  </xltc:threadedComment>
  <xltc:threadedComment ref="B40" dT="2026-07-31T13:49:56.416" personId="{96CAC97A-5D8B-467F-90F4-06A4373FE8CD}" id="{DE487ECC-148A-05FE-7AD7-637971803783}">
    <xltc:text>SRC-008 | SEC 10-Q | Filed 2026-05-07 | XBRL: ResearchAndDevelopmentExpense | Q1 2025
https://www.sec.gov/Archives/edgar/data/1561550/000162828026032328/0001628280-26-032328-index.html</xltc:text>
  </xltc:threadedComment>
  <xltc:threadedComment ref="C38" dT="2026-07-31T13:49:56.416" personId="{96CAC97A-5D8B-467F-90F4-06A4373FE8CD}" id="{FB523DE6-7821-976D-C2CA-935A065BC851}">
    <xltc:text>SRC-008 | SEC 10-Q | Filed 2026-05-07 | XBRL: RevenueFromContractWithCustomerExcludingAssessedTax | Q1 2026
https://www.sec.gov/Archives/edgar/data/1561550/000162828026032328/0001628280-26-032328-index.html</xltc:text>
  </xltc:threadedComment>
  <xltc:threadedComment ref="C39" dT="2026-07-31T13:49:56.416" personId="{96CAC97A-5D8B-467F-90F4-06A4373FE8CD}" id="{7E07BD93-9408-897D-FA7C-24D2B9A74B85}">
    <xltc:text>SRC-008 | SEC 10-Q | Filed 2026-05-07 | XBRL: OperatingIncomeLoss | Q1 2026
https://www.sec.gov/Archives/edgar/data/1561550/000162828026032328/0001628280-26-032328-index.html</xltc:text>
  </xltc:threadedComment>
  <xltc:threadedComment ref="C40" dT="2026-07-31T13:49:56.416" personId="{96CAC97A-5D8B-467F-90F4-06A4373FE8CD}" id="{A623FD11-2FAE-953C-CB77-FB71E3362B25}">
    <xltc:text>SRC-008 | SEC 10-Q | Filed 2026-05-07 | XBRL: ResearchAndDevelopmentExpense | Q1 2026
https://www.sec.gov/Archives/edgar/data/1561550/000162828026032328/0001628280-26-032328-index.html</xltc:text>
  </xltc:threadedComment>
  <xltc:threadedComment ref="C45" dT="2026-07-31T13:49:56.418" personId="{96CAC97A-5D8B-467F-90F4-06A4373FE8CD}" id="{720C7096-4E93-27BB-9A81-78B0C8DB7611}">
    <xltc:text>SRC-001 | SEC 10-K | Filed 2020-02-25 | XBRL: ResearchAndDevelopmentExpense | FY2017
https://www.sec.gov/Archives/edgar/data/1561550/000156459020006422/0001564590-20-006422-index.html</xltc:text>
  </xltc:threadedComment>
  <xltc:threadedComment ref="C46" dT="2026-07-31T13:49:56.418" personId="{96CAC97A-5D8B-467F-90F4-06A4373FE8CD}" id="{6C82DBB7-59AA-C3B8-2105-FD546F93A040}">
    <xltc:text>SRC-002 | SEC 10-K | Filed 2021-03-01 | XBRL: ResearchAndDevelopmentExpense | FY2018
https://www.sec.gov/Archives/edgar/data/1561550/000156459021009770/0001564590-21-009770-index.html</xltc:text>
  </xltc:threadedComment>
  <xltc:threadedComment ref="C47" dT="2026-07-31T13:49:56.418" personId="{96CAC97A-5D8B-467F-90F4-06A4373FE8CD}" id="{3B57D2FA-7037-FCC7-45ED-2AE6FC28814E}">
    <xltc:text>SRC-003 | SEC 10-K | Filed 2022-02-25 | XBRL: ResearchAndDevelopmentExpense | FY2019
https://www.sec.gov/Archives/edgar/data/1561550/000156155022000009/0001561550-22-000009-index.html</xltc:text>
  </xltc:threadedComment>
  <xltc:threadedComment ref="C48" dT="2026-07-31T13:49:56.418" personId="{96CAC97A-5D8B-467F-90F4-06A4373FE8CD}" id="{1A04EA10-9747-ECA2-B225-772662595F76}">
    <xltc:text>SRC-004 | SEC 10-K | Filed 2023-02-24 | XBRL: ResearchAndDevelopmentExpense | FY2020
https://www.sec.gov/Archives/edgar/data/1561550/000156155023000006/0001561550-23-000006-index.html</xltc:text>
  </xltc:threadedComment>
  <xltc:threadedComment ref="C49" dT="2026-07-31T13:49:56.418" personId="{96CAC97A-5D8B-467F-90F4-06A4373FE8CD}" id="{E223B565-F7DD-8EF7-33C8-F10AAB0E6842}">
    <xltc:text>SRC-005 | SEC 10-K | Filed 2024-02-23 | XBRL: ResearchAndDevelopmentExpense | FY2021
https://www.sec.gov/Archives/edgar/data/1561550/000156155024000009/0001561550-24-000009-index.html</xltc:text>
  </xltc:threadedComment>
  <xltc:threadedComment ref="C50" dT="2026-07-31T13:49:56.418" personId="{96CAC97A-5D8B-467F-90F4-06A4373FE8CD}" id="{CB6AACFB-95BE-8C8C-D1DA-7EBF848CF291}">
    <xltc:text>SRC-006 | SEC 10-K | Filed 2025-02-20 | XBRL: ResearchAndDevelopmentExpense | FY2022
https://www.sec.gov/Archives/edgar/data/1561550/000156155025000025/0001561550-25-000025-index.html</xltc:text>
  </xltc:threadedComment>
  <xltc:threadedComment ref="C51" dT="2026-07-31T13:49:56.418" personId="{96CAC97A-5D8B-467F-90F4-06A4373FE8CD}" id="{2D1B7EDF-A985-C20E-198C-63BE121D8324}">
    <xltc:text>SRC-007 | SEC 10-K | Filed 2026-02-18 | XBRL: ResearchAndDevelopmentExpense | FY2023
https://www.sec.gov/Archives/edgar/data/1561550/000162828026008819/0001628280-26-008819-index.html</xltc:text>
  </xltc:threadedComment>
  <xltc:threadedComment ref="C52" dT="2026-07-31T13:49:56.418" personId="{96CAC97A-5D8B-467F-90F4-06A4373FE8CD}" id="{B6064E30-C0A4-B60D-AEF5-77524C4DE695}">
    <xltc:text>SRC-007 | SEC 10-K | Filed 2026-02-18 | XBRL: ResearchAndDevelopmentExpense | FY2024
https://www.sec.gov/Archives/edgar/data/1561550/000162828026008819/0001628280-26-008819-index.html</xltc:text>
  </xltc:threadedComment>
  <xltc:threadedComment ref="C53" dT="2026-07-31T13:49:56.418" personId="{96CAC97A-5D8B-467F-90F4-06A4373FE8CD}" id="{025F1582-7E80-4D34-59DF-69190E912682}">
    <xltc:text>SRC-007 | SEC 10-K | Filed 2026-02-18 | XBRL: ResearchAndDevelopmentExpense | FY2025
https://www.sec.gov/Archives/edgar/data/1561550/000162828026008819/0001628280-26-008819-index.html</xltc:text>
  </xltc:threadedComment>
  <xltc:threadedComment ref="C54" dT="2026-07-31T13:49:56.418" personId="{96CAC97A-5D8B-467F-90F4-06A4373FE8CD}" id="{1B8DA5A7-7A55-B76F-FF1B-0AEAB0FF0524}">
    <xltc:text>SRC-008 | SEC 10-Q | Filed 2026-05-07 | XBRL: ResearchAndDevelopmentExpense | Q1 2026
https://www.sec.gov/Archives/edgar/data/1561550/000162828026032328/0001628280-26-032328-index.html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37d0931a52a44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dddb79167a0444e" /><Relationship Type="http://schemas.openxmlformats.org/officeDocument/2006/relationships/vmlDrawing" Target="/xl/drawings/vmldrawing.vml" Id="Rf67d688e776e4fb1" /><Relationship Type="http://schemas.microsoft.com/office/2017/10/relationships/threadedComment" Target="/xl/threadedcomments/threadedcomment.xml" Id="R54bcf1d0e81441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8a6278a049a742f4" /><Relationship Type="http://schemas.openxmlformats.org/officeDocument/2006/relationships/vmlDrawing" Target="/xl/drawings/vmldrawing2.vml" Id="R84e6dae7d92f448a" /><Relationship Type="http://schemas.microsoft.com/office/2017/10/relationships/threadedComment" Target="/xl/threadedcomments/threadedcomment2.xml" Id="Rab9ff62b52b141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" hidden="0" customWidth="1"/>
    <x:col min="13" max="13" width="18" hidden="0" customWidth="1"/>
    <x:col min="14" max="14" width="18" hidden="0" customWidth="1"/>
  </x:cols>
  <x:sheetData>
    <x:row r="1" ht="34" customHeight="1">
      <x:c r="A1" s="227" t="str">
        <x:v>Datadog Capital Employed and ROIC Dynamics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</x:row>
    <x:row r="2">
      <x:c r="A2" s="228" t="str">
        <x:v>FY2019–FY2025 and Q1 2026 snapshot | USD millions | SEC-sourced, formula-driven model</x:v>
      </x:c>
      <x:c r="B2" s="228"/>
      <x:c r="C2" s="228"/>
      <x:c r="D2" s="228"/>
      <x:c r="E2" s="228"/>
      <x:c r="F2" s="228"/>
      <x:c r="G2" s="228"/>
      <x:c r="H2" s="228"/>
      <x:c r="I2" s="228"/>
      <x:c r="J2" s="228"/>
      <x:c r="K2" s="228"/>
      <x:c r="L2" s="228"/>
      <x:c r="M2" s="228"/>
      <x:c r="N2" s="228"/>
    </x:row>
    <x:row r="3">
      <x:c r="A3" s="229"/>
      <x:c r="B3" s="229"/>
      <x:c r="C3" s="229"/>
      <x:c r="D3" s="229"/>
      <x:c r="E3" s="229"/>
      <x:c r="F3" s="229"/>
      <x:c r="G3" s="229"/>
      <x:c r="H3" s="229"/>
      <x:c r="I3" s="229"/>
      <x:c r="J3" s="229"/>
      <x:c r="K3" s="229"/>
      <x:c r="L3" s="229"/>
      <x:c r="M3" s="229"/>
      <x:c r="N3" s="229"/>
    </x:row>
    <x:row r="4">
      <x:c r="A4" s="230" t="str">
        <x:v>Model status</x:v>
      </x:c>
      <x:c r="B4" s="230" t="str">
        <x:f>'Checks'!B2</x:f>
        <x:v>OK</x:v>
      </x:c>
      <x:c r="C4" s="230"/>
      <x:c r="D4" s="230" t="str">
        <x:v>Latest period</x:v>
      </x:c>
      <x:c r="E4" s="230" t="str">
        <x:f>'Capital Employed'!J5</x:f>
        <x:v>Q1 2026</x:v>
      </x:c>
      <x:c r="F4" s="230"/>
      <x:c r="G4" s="230" t="str">
        <x:v>Source posture</x:v>
      </x:c>
      <x:c r="H4" s="230" t="str">
        <x:v>SEC filings / Companyfacts</x:v>
      </x:c>
      <x:c r="I4" s="230"/>
      <x:c r="J4" s="230" t="str">
        <x:v>Decision readiness</x:v>
      </x:c>
      <x:c r="K4" s="230" t="str">
        <x:v>Research-grade</x:v>
      </x:c>
      <x:c r="L4" s="229"/>
      <x:c r="M4" s="229"/>
      <x:c r="N4" s="229"/>
    </x:row>
    <x:row r="5">
      <x:c r="A5" s="229"/>
      <x:c r="B5" s="229"/>
      <x:c r="C5" s="229"/>
      <x:c r="D5" s="229"/>
      <x:c r="E5" s="229"/>
      <x:c r="F5" s="229"/>
      <x:c r="G5" s="229"/>
      <x:c r="H5" s="229"/>
      <x:c r="I5" s="229"/>
      <x:c r="J5" s="229"/>
      <x:c r="K5" s="229"/>
      <x:c r="L5" s="229"/>
      <x:c r="M5" s="229"/>
      <x:c r="N5" s="229"/>
    </x:row>
    <x:row r="6">
      <x:c r="A6" s="231" t="str">
        <x:v>Reported CE</x:v>
      </x:c>
      <x:c r="B6" s="231"/>
      <x:c r="C6" s="231"/>
      <x:c r="D6" s="229"/>
      <x:c r="E6" s="232" t="str">
        <x:v>Operating CE — primary</x:v>
      </x:c>
      <x:c r="F6" s="232"/>
      <x:c r="G6" s="232"/>
      <x:c r="H6" s="229"/>
      <x:c r="I6" s="233" t="str">
        <x:v>R&amp;D-adjusted CE</x:v>
      </x:c>
      <x:c r="J6" s="233"/>
      <x:c r="K6" s="233"/>
      <x:c r="L6" s="229"/>
      <x:c r="M6" s="234" t="str">
        <x:v>FY2025 R&amp;D-adjusted ROIC</x:v>
      </x:c>
      <x:c r="N6" s="234"/>
    </x:row>
    <x:row r="7">
      <x:c r="A7" s="235" t="n">
        <x:f>'Capital Employed'!J11</x:f>
        <x:v>5296.1089999999995</x:v>
      </x:c>
      <x:c r="B7" s="236"/>
      <x:c r="C7" s="237"/>
      <x:c r="D7" s="229"/>
      <x:c r="E7" s="238" t="n">
        <x:f>'Capital Employed'!J22</x:f>
        <x:v>588.0976200000001</x:v>
      </x:c>
      <x:c r="F7" s="239"/>
      <x:c r="G7" s="240"/>
      <x:c r="H7" s="229"/>
      <x:c r="I7" s="241" t="n">
        <x:f>'Capital Employed'!J31</x:f>
        <x:v>3829.6881200000003</x:v>
      </x:c>
      <x:c r="J7" s="242"/>
      <x:c r="K7" s="243"/>
      <x:c r="L7" s="229"/>
      <x:c r="M7" s="244" t="n">
        <x:f>'Capital Employed'!I50</x:f>
        <x:v>0.166764551374919</x:v>
      </x:c>
      <x:c r="N7" s="245"/>
    </x:row>
    <x:row r="8">
      <x:c r="A8" s="246"/>
      <x:c r="B8" s="247"/>
      <x:c r="C8" s="248"/>
      <x:c r="D8" s="229"/>
      <x:c r="E8" s="249"/>
      <x:c r="F8" s="250"/>
      <x:c r="G8" s="251"/>
      <x:c r="H8" s="229"/>
      <x:c r="I8" s="252"/>
      <x:c r="J8" s="253"/>
      <x:c r="K8" s="254"/>
      <x:c r="L8" s="229"/>
      <x:c r="M8" s="255"/>
      <x:c r="N8" s="256"/>
    </x:row>
    <x:row r="9">
      <x:c r="A9" s="229"/>
      <x:c r="B9" s="229"/>
      <x:c r="C9" s="229"/>
      <x:c r="D9" s="229"/>
      <x:c r="E9" s="229"/>
      <x:c r="F9" s="229"/>
      <x:c r="G9" s="229"/>
      <x:c r="H9" s="229"/>
      <x:c r="I9" s="229"/>
      <x:c r="J9" s="229"/>
      <x:c r="K9" s="229"/>
      <x:c r="L9" s="229"/>
      <x:c r="M9" s="229"/>
      <x:c r="N9" s="229"/>
    </x:row>
    <x:row r="10" ht="22" customHeight="1">
      <x:c r="A10" s="257" t="str">
        <x:v>Current Read</x:v>
      </x:c>
      <x:c r="B10" s="257"/>
      <x:c r="C10" s="257"/>
      <x:c r="D10" s="257"/>
      <x:c r="E10" s="257"/>
      <x:c r="F10" s="257"/>
      <x:c r="G10" s="257"/>
      <x:c r="H10" s="257"/>
      <x:c r="I10" s="257"/>
      <x:c r="J10" s="257"/>
      <x:c r="K10" s="257"/>
      <x:c r="L10" s="257"/>
      <x:c r="M10" s="257"/>
      <x:c r="N10" s="257"/>
    </x:row>
    <x:row r="11">
      <x:c r="A11" s="258" t="str">
        <x:v>The textbook Assets − Current Liabilities measure is dominated by Datadog’s liquidity portfolio. The primary operating measure removes cash and marketable securities, then retains a small cash floor. Capitalizing R&amp;D materially raises the economic capital base. Using a 21% normalized tax rate, FY2025 R&amp;D-adjusted ROIC is calculated on average invested capital; Q1 2026 is not annualized.</x:v>
      </x:c>
      <x:c r="B11" s="258"/>
      <x:c r="C11" s="258"/>
      <x:c r="D11" s="258"/>
      <x:c r="E11" s="258"/>
      <x:c r="F11" s="258"/>
      <x:c r="G11" s="258"/>
      <x:c r="H11" s="258"/>
      <x:c r="I11" s="258"/>
      <x:c r="J11" s="258"/>
      <x:c r="K11" s="258"/>
      <x:c r="L11" s="258"/>
      <x:c r="M11" s="258"/>
      <x:c r="N11" s="258"/>
    </x:row>
    <x:row r="12">
      <x:c r="A12" s="258"/>
      <x:c r="B12" s="258"/>
      <x:c r="C12" s="258"/>
      <x:c r="D12" s="258"/>
      <x:c r="E12" s="258"/>
      <x:c r="F12" s="258"/>
      <x:c r="G12" s="258"/>
      <x:c r="H12" s="258"/>
      <x:c r="I12" s="258"/>
      <x:c r="J12" s="258"/>
      <x:c r="K12" s="258"/>
      <x:c r="L12" s="258"/>
      <x:c r="M12" s="258"/>
      <x:c r="N12" s="258"/>
    </x:row>
    <x:row r="13">
      <x:c r="A13" s="258"/>
      <x:c r="B13" s="258"/>
      <x:c r="C13" s="258"/>
      <x:c r="D13" s="258"/>
      <x:c r="E13" s="258"/>
      <x:c r="F13" s="258"/>
      <x:c r="G13" s="258"/>
      <x:c r="H13" s="258"/>
      <x:c r="I13" s="258"/>
      <x:c r="J13" s="258"/>
      <x:c r="K13" s="258"/>
      <x:c r="L13" s="258"/>
      <x:c r="M13" s="258"/>
      <x:c r="N13" s="258"/>
    </x:row>
    <x:row r="14">
      <x:c r="A14" s="229"/>
      <x:c r="B14" s="229"/>
      <x:c r="C14" s="229"/>
      <x:c r="D14" s="229"/>
      <x:c r="E14" s="229"/>
      <x:c r="F14" s="229"/>
      <x:c r="G14" s="229"/>
      <x:c r="H14" s="229"/>
      <x:c r="I14" s="229"/>
      <x:c r="J14" s="229"/>
      <x:c r="K14" s="229"/>
      <x:c r="L14" s="229"/>
      <x:c r="M14" s="229"/>
      <x:c r="N14" s="229"/>
    </x:row>
    <x:row r="15">
      <x:c r="A15" s="229"/>
      <x:c r="B15" s="229"/>
      <x:c r="C15" s="229"/>
      <x:c r="D15" s="229"/>
      <x:c r="E15" s="229"/>
      <x:c r="F15" s="229"/>
      <x:c r="G15" s="229"/>
      <x:c r="H15" s="229"/>
      <x:c r="I15" s="229"/>
      <x:c r="J15" s="229"/>
      <x:c r="K15" s="229"/>
      <x:c r="L15" s="229"/>
      <x:c r="M15" s="229"/>
      <x:c r="N15" s="229"/>
    </x:row>
    <x:row r="16">
      <x:c r="A16" s="259" t="str">
        <x:v>Period</x:v>
      </x:c>
      <x:c r="B16" s="260" t="str">
        <x:v>Operating CE</x:v>
      </x:c>
      <x:c r="C16" s="260" t="str">
        <x:v>CE pre-customer</x:v>
      </x:c>
      <x:c r="D16" s="261" t="str">
        <x:v>R&amp;D-adjusted CE</x:v>
      </x:c>
      <x:c r="E16" s="229"/>
      <x:c r="F16" s="259" t="str">
        <x:v>Period</x:v>
      </x:c>
      <x:c r="G16" s="260" t="str">
        <x:v>Reported CE</x:v>
      </x:c>
      <x:c r="H16" s="261" t="str">
        <x:v>Cash + securities</x:v>
      </x:c>
      <x:c r="I16" s="229"/>
      <x:c r="J16" s="229"/>
      <x:c r="K16" s="229"/>
      <x:c r="L16" s="229"/>
      <x:c r="M16" s="229"/>
      <x:c r="N16" s="229"/>
    </x:row>
    <x:row r="17">
      <x:c r="A17" s="262" t="str">
        <x:f>'Capital Employed'!C5</x:f>
        <x:v>FY2019</x:v>
      </x:c>
      <x:c r="B17" s="263" t="n">
        <x:f>'Capital Employed'!C22</x:f>
        <x:v>76.05160000000002</x:v>
      </x:c>
      <x:c r="C17" s="263" t="n">
        <x:f>'Capital Employed'!C26</x:f>
        <x:v>214.5396</x:v>
      </x:c>
      <x:c r="D17" s="263" t="n">
        <x:f>'Capital Employed'!C31</x:f>
        <x:v>0</x:v>
      </x:c>
      <x:c r="E17" s="262"/>
      <x:c r="F17" s="262" t="str">
        <x:f>'Capital Employed'!C5</x:f>
        <x:v>FY2019</x:v>
      </x:c>
      <x:c r="G17" s="263" t="n">
        <x:f>'Capital Employed'!C11</x:f>
        <x:v>837.8019999999999</x:v>
      </x:c>
      <x:c r="H17" s="263" t="n">
        <x:f>'Capital Employed'!C17+'Capital Employed'!C18</x:f>
        <x:v>773.971</x:v>
      </x:c>
      <x:c r="I17" s="229"/>
      <x:c r="J17" s="229"/>
      <x:c r="K17" s="229"/>
      <x:c r="L17" s="229"/>
      <x:c r="M17" s="229"/>
      <x:c r="N17" s="229"/>
    </x:row>
    <x:row r="18">
      <x:c r="A18" s="262" t="str">
        <x:f>'Capital Employed'!D5</x:f>
        <x:v>FY2020</x:v>
      </x:c>
      <x:c r="B18" s="263" t="n">
        <x:f>'Capital Employed'!D22</x:f>
        <x:v>95.66532000000024</x:v>
      </x:c>
      <x:c r="C18" s="263" t="n">
        <x:f>'Capital Employed'!D26</x:f>
        <x:v>303.9403200000002</x:v>
      </x:c>
      <x:c r="D18" s="263" t="n">
        <x:f>'Capital Employed'!D31</x:f>
        <x:v>0</x:v>
      </x:c>
      <x:c r="E18" s="262"/>
      <x:c r="F18" s="262" t="str">
        <x:f>'Capital Employed'!D5</x:f>
        <x:v>FY2020</x:v>
      </x:c>
      <x:c r="G18" s="263" t="n">
        <x:f>'Capital Employed'!D11</x:f>
        <x:v>1592.441</x:v>
      </x:c>
      <x:c r="H18" s="263" t="n">
        <x:f>'Capital Employed'!D17+'Capital Employed'!D18</x:f>
        <x:v>1517.4589999999998</x:v>
      </x:c>
      <x:c r="I18" s="229"/>
      <x:c r="J18" s="229"/>
      <x:c r="K18" s="229"/>
      <x:c r="L18" s="229"/>
      <x:c r="M18" s="229"/>
      <x:c r="N18" s="229"/>
    </x:row>
    <x:row r="19">
      <x:c r="A19" s="262" t="str">
        <x:f>'Capital Employed'!E5</x:f>
        <x:v>FY2021</x:v>
      </x:c>
      <x:c r="B19" s="263" t="n">
        <x:f>'Capital Employed'!E22</x:f>
        <x:v>315.07767999999993</x:v>
      </x:c>
      <x:c r="C19" s="263" t="n">
        <x:f>'Capital Employed'!E26</x:f>
        <x:v>700.95868</x:v>
      </x:c>
      <x:c r="D19" s="263" t="n">
        <x:f>'Capital Employed'!E31</x:f>
        <x:v>962.32268</x:v>
      </x:c>
      <x:c r="E19" s="262"/>
      <x:c r="F19" s="262" t="str">
        <x:f>'Capital Employed'!E5</x:f>
        <x:v>FY2021</x:v>
      </x:c>
      <x:c r="G19" s="263" t="n">
        <x:f>'Capital Employed'!E11</x:f>
        <x:v>1852.098</x:v>
      </x:c>
      <x:c r="H19" s="263" t="n">
        <x:f>'Capital Employed'!E17+'Capital Employed'!E18</x:f>
        <x:v>1554.446</x:v>
      </x:c>
      <x:c r="I19" s="229"/>
      <x:c r="J19" s="229"/>
      <x:c r="K19" s="229"/>
      <x:c r="L19" s="229"/>
      <x:c r="M19" s="229"/>
      <x:c r="N19" s="229"/>
    </x:row>
    <x:row r="20">
      <x:c r="A20" s="262" t="str">
        <x:f>'Capital Employed'!F5</x:f>
        <x:v>FY2022</x:v>
      </x:c>
      <x:c r="B20" s="263" t="n">
        <x:f>'Capital Employed'!F22</x:f>
        <x:v>397.2019999999998</x:v>
      </x:c>
      <x:c r="C20" s="263" t="n">
        <x:f>'Capital Employed'!F26</x:f>
        <x:v>953.1699999999998</x:v>
      </x:c>
      <x:c r="D20" s="263" t="n">
        <x:f>'Capital Employed'!F31</x:f>
        <x:v>1597.5489999999998</x:v>
      </x:c>
      <x:c r="E20" s="262"/>
      <x:c r="F20" s="262" t="str">
        <x:f>'Capital Employed'!F5</x:f>
        <x:v>FY2022</x:v>
      </x:c>
      <x:c r="G20" s="263" t="n">
        <x:f>'Capital Employed'!F11</x:f>
        <x:v>2245.104</x:v>
      </x:c>
      <x:c r="H20" s="263" t="n">
        <x:f>'Capital Employed'!F17+'Capital Employed'!F18</x:f>
        <x:v>1884.326</x:v>
      </x:c>
      <x:c r="I20" s="229"/>
      <x:c r="J20" s="229"/>
      <x:c r="K20" s="229"/>
      <x:c r="L20" s="229"/>
      <x:c r="M20" s="229"/>
      <x:c r="N20" s="229"/>
    </x:row>
    <x:row r="21">
      <x:c r="A21" s="262" t="str">
        <x:f>'Capital Employed'!G5</x:f>
        <x:v>FY2023</x:v>
      </x:c>
      <x:c r="B21" s="263" t="n">
        <x:f>'Capital Employed'!G22</x:f>
        <x:v>387.3601799999997</x:v>
      </x:c>
      <x:c r="C21" s="263" t="n">
        <x:f>'Capital Employed'!G26</x:f>
        <x:v>1174.3051799999998</x:v>
      </x:c>
      <x:c r="D21" s="263" t="n">
        <x:f>'Capital Employed'!G31</x:f>
        <x:v>2176.6114299999995</x:v>
      </x:c>
      <x:c r="E21" s="262"/>
      <x:c r="F21" s="262" t="str">
        <x:f>'Capital Employed'!G5</x:f>
        <x:v>FY2023</x:v>
      </x:c>
      <x:c r="G21" s="263" t="n">
        <x:f>'Capital Employed'!G11</x:f>
        <x:v>2933.02</x:v>
      </x:c>
      <x:c r="H21" s="263" t="n">
        <x:f>'Capital Employed'!G17+'Capital Employed'!G18</x:f>
        <x:v>2582.898</x:v>
      </x:c>
      <x:c r="I21" s="229"/>
      <x:c r="J21" s="229"/>
      <x:c r="K21" s="229"/>
      <x:c r="L21" s="229"/>
      <x:c r="M21" s="229"/>
      <x:c r="N21" s="229"/>
    </x:row>
    <x:row r="22">
      <x:c r="A22" s="262" t="str">
        <x:f>'Capital Employed'!H5</x:f>
        <x:v>FY2024</x:v>
      </x:c>
      <x:c r="B22" s="263" t="n">
        <x:f>'Capital Employed'!H22</x:f>
        <x:v>421.16949999999946</x:v>
      </x:c>
      <x:c r="C22" s="263" t="n">
        <x:f>'Capital Employed'!H26</x:f>
        <x:v>1405.7154999999993</x:v>
      </x:c>
      <x:c r="D22" s="263" t="n">
        <x:f>'Capital Employed'!H31</x:f>
        <x:v>2776.8254999999995</x:v>
      </x:c>
      <x:c r="E22" s="262"/>
      <x:c r="F22" s="262" t="str">
        <x:f>'Capital Employed'!H5</x:f>
        <x:v>FY2024</x:v>
      </x:c>
      <x:c r="G22" s="263" t="n">
        <x:f>'Capital Employed'!H11</x:f>
        <x:v>3922.626</x:v>
      </x:c>
      <x:c r="H22" s="263" t="n">
        <x:f>'Capital Employed'!H17+'Capital Employed'!H18</x:f>
        <x:v>4189.059</x:v>
      </x:c>
      <x:c r="I22" s="229"/>
      <x:c r="J22" s="229"/>
      <x:c r="K22" s="229"/>
      <x:c r="L22" s="229"/>
      <x:c r="M22" s="229"/>
      <x:c r="N22" s="229"/>
    </x:row>
    <x:row r="23">
      <x:c r="A23" s="262" t="str">
        <x:f>'Capital Employed'!I5</x:f>
        <x:v>FY2025</x:v>
      </x:c>
      <x:c r="B23" s="263" t="n">
        <x:f>'Capital Employed'!I22</x:f>
        <x:v>604.918159999999</x:v>
      </x:c>
      <x:c r="C23" s="263" t="n">
        <x:f>'Capital Employed'!I26</x:f>
        <x:v>1867.275159999999</x:v>
      </x:c>
      <x:c r="D23" s="263" t="n">
        <x:f>'Capital Employed'!I31</x:f>
        <x:v>3687.207659999999</x:v>
      </x:c>
      <x:c r="E23" s="262"/>
      <x:c r="F23" s="262" t="str">
        <x:f>'Capital Employed'!I5</x:f>
        <x:v>FY2025</x:v>
      </x:c>
      <x:c r="G23" s="263" t="n">
        <x:f>'Capital Employed'!I11</x:f>
        <x:v>5052.443</x:v>
      </x:c>
      <x:c r="H23" s="263" t="n">
        <x:f>'Capital Employed'!I17+'Capital Employed'!I18</x:f>
        <x:v>4474.836</x:v>
      </x:c>
      <x:c r="I23" s="229"/>
      <x:c r="J23" s="229"/>
      <x:c r="K23" s="229"/>
      <x:c r="L23" s="229"/>
      <x:c r="M23" s="229"/>
      <x:c r="N23" s="229"/>
    </x:row>
    <x:row r="24">
      <x:c r="A24" s="262" t="str">
        <x:f>'Capital Employed'!J5</x:f>
        <x:v>Q1 2026</x:v>
      </x:c>
      <x:c r="B24" s="263" t="n">
        <x:f>'Capital Employed'!J22</x:f>
        <x:v>588.0976200000001</x:v>
      </x:c>
      <x:c r="C24" s="263" t="n">
        <x:f>'Capital Employed'!J26</x:f>
        <x:v>1870.1676200000002</x:v>
      </x:c>
      <x:c r="D24" s="263" t="n">
        <x:f>'Capital Employed'!J31</x:f>
        <x:v>3829.6881200000003</x:v>
      </x:c>
      <x:c r="E24" s="262"/>
      <x:c r="F24" s="262" t="str">
        <x:f>'Capital Employed'!J5</x:f>
        <x:v>Q1 2026</x:v>
      </x:c>
      <x:c r="G24" s="263" t="n">
        <x:f>'Capital Employed'!J11</x:f>
        <x:v>5296.1089999999995</x:v>
      </x:c>
      <x:c r="H24" s="263" t="n">
        <x:f>'Capital Employed'!J17+'Capital Employed'!J18</x:f>
        <x:v>4758.616999999999</x:v>
      </x:c>
      <x:c r="I24" s="229"/>
      <x:c r="J24" s="229"/>
      <x:c r="K24" s="229"/>
      <x:c r="L24" s="229"/>
      <x:c r="M24" s="229"/>
      <x:c r="N24" s="229"/>
    </x:row>
    <x:row r="25">
      <x:c r="A25" s="229"/>
      <x:c r="B25" s="229"/>
      <x:c r="C25" s="229"/>
      <x:c r="D25" s="229"/>
      <x:c r="E25" s="229"/>
      <x:c r="F25" s="229"/>
      <x:c r="G25" s="229"/>
      <x:c r="H25" s="229"/>
      <x:c r="I25" s="229"/>
      <x:c r="J25" s="229"/>
      <x:c r="K25" s="229"/>
      <x:c r="L25" s="229"/>
      <x:c r="M25" s="229"/>
      <x:c r="N25" s="229"/>
    </x:row>
    <x:row r="26">
      <x:c r="A26" s="229"/>
      <x:c r="B26" s="229"/>
      <x:c r="C26" s="229"/>
      <x:c r="D26" s="229"/>
      <x:c r="E26" s="229"/>
      <x:c r="F26" s="229"/>
      <x:c r="G26" s="229"/>
      <x:c r="H26" s="229"/>
      <x:c r="I26" s="229"/>
      <x:c r="J26" s="229"/>
      <x:c r="K26" s="229"/>
      <x:c r="L26" s="229"/>
      <x:c r="M26" s="229"/>
      <x:c r="N26" s="229"/>
    </x:row>
    <x:row r="27">
      <x:c r="A27" s="229"/>
      <x:c r="B27" s="229"/>
      <x:c r="C27" s="229"/>
      <x:c r="D27" s="229"/>
      <x:c r="E27" s="229"/>
      <x:c r="F27" s="229"/>
      <x:c r="G27" s="229"/>
      <x:c r="H27" s="229"/>
      <x:c r="I27" s="229"/>
      <x:c r="J27" s="229"/>
      <x:c r="K27" s="229"/>
      <x:c r="L27" s="229"/>
      <x:c r="M27" s="229"/>
      <x:c r="N27" s="229"/>
    </x:row>
    <x:row r="28">
      <x:c r="A28" s="229"/>
      <x:c r="B28" s="229"/>
      <x:c r="C28" s="229"/>
      <x:c r="D28" s="229"/>
      <x:c r="E28" s="229"/>
      <x:c r="F28" s="229"/>
      <x:c r="G28" s="229"/>
      <x:c r="H28" s="229"/>
      <x:c r="I28" s="229"/>
      <x:c r="J28" s="229"/>
      <x:c r="K28" s="229"/>
      <x:c r="L28" s="229"/>
      <x:c r="M28" s="229"/>
      <x:c r="N28" s="229"/>
    </x:row>
    <x:row r="29">
      <x:c r="A29" s="229"/>
      <x:c r="B29" s="229"/>
      <x:c r="C29" s="229"/>
      <x:c r="D29" s="229"/>
      <x:c r="E29" s="229"/>
      <x:c r="F29" s="229"/>
      <x:c r="G29" s="229"/>
      <x:c r="H29" s="229"/>
      <x:c r="I29" s="229"/>
      <x:c r="J29" s="229"/>
      <x:c r="K29" s="229"/>
      <x:c r="L29" s="229"/>
      <x:c r="M29" s="229"/>
      <x:c r="N29" s="229"/>
    </x:row>
    <x:row r="30">
      <x:c r="A30" s="229"/>
      <x:c r="B30" s="229"/>
      <x:c r="C30" s="229"/>
      <x:c r="D30" s="229"/>
      <x:c r="E30" s="229"/>
      <x:c r="F30" s="229"/>
      <x:c r="G30" s="229"/>
      <x:c r="H30" s="229"/>
      <x:c r="I30" s="229"/>
      <x:c r="J30" s="229"/>
      <x:c r="K30" s="229"/>
      <x:c r="L30" s="229"/>
      <x:c r="M30" s="229"/>
      <x:c r="N30" s="229"/>
    </x:row>
    <x:row r="31">
      <x:c r="A31" s="229"/>
      <x:c r="B31" s="229"/>
      <x:c r="C31" s="229"/>
      <x:c r="D31" s="229"/>
      <x:c r="E31" s="229"/>
      <x:c r="F31" s="229"/>
      <x:c r="G31" s="229"/>
      <x:c r="H31" s="229"/>
      <x:c r="I31" s="229"/>
      <x:c r="J31" s="229"/>
      <x:c r="K31" s="229"/>
      <x:c r="L31" s="229"/>
      <x:c r="M31" s="229"/>
      <x:c r="N31" s="229"/>
    </x:row>
    <x:row r="32">
      <x:c r="A32" s="229"/>
      <x:c r="B32" s="229"/>
      <x:c r="C32" s="229"/>
      <x:c r="D32" s="229"/>
      <x:c r="E32" s="229"/>
      <x:c r="F32" s="229"/>
      <x:c r="G32" s="229"/>
      <x:c r="H32" s="229"/>
      <x:c r="I32" s="229"/>
      <x:c r="J32" s="229"/>
      <x:c r="K32" s="229"/>
      <x:c r="L32" s="229"/>
      <x:c r="M32" s="229"/>
      <x:c r="N32" s="229"/>
    </x:row>
    <x:row r="33">
      <x:c r="A33" s="229"/>
      <x:c r="B33" s="229"/>
      <x:c r="C33" s="229"/>
      <x:c r="D33" s="229"/>
      <x:c r="E33" s="229"/>
      <x:c r="F33" s="229"/>
      <x:c r="G33" s="229"/>
      <x:c r="H33" s="229"/>
      <x:c r="I33" s="229"/>
      <x:c r="J33" s="229"/>
      <x:c r="K33" s="229"/>
      <x:c r="L33" s="229"/>
      <x:c r="M33" s="229"/>
      <x:c r="N33" s="229"/>
    </x:row>
    <x:row r="34">
      <x:c r="A34" s="229"/>
      <x:c r="B34" s="229"/>
      <x:c r="C34" s="229"/>
      <x:c r="D34" s="229"/>
      <x:c r="E34" s="229"/>
      <x:c r="F34" s="229"/>
      <x:c r="G34" s="229"/>
      <x:c r="H34" s="229"/>
      <x:c r="I34" s="229"/>
      <x:c r="J34" s="229"/>
      <x:c r="K34" s="229"/>
      <x:c r="L34" s="229"/>
      <x:c r="M34" s="229"/>
      <x:c r="N34" s="229"/>
    </x:row>
    <x:row r="35">
      <x:c r="A35" s="229"/>
      <x:c r="B35" s="229"/>
      <x:c r="C35" s="229"/>
      <x:c r="D35" s="229"/>
      <x:c r="E35" s="229"/>
      <x:c r="F35" s="229"/>
      <x:c r="G35" s="229"/>
      <x:c r="H35" s="229"/>
      <x:c r="I35" s="229"/>
      <x:c r="J35" s="229"/>
      <x:c r="K35" s="229"/>
      <x:c r="L35" s="229"/>
      <x:c r="M35" s="229"/>
      <x:c r="N35" s="229"/>
    </x:row>
    <x:row r="36">
      <x:c r="A36" s="229"/>
      <x:c r="B36" s="229"/>
      <x:c r="C36" s="229"/>
      <x:c r="D36" s="229"/>
      <x:c r="E36" s="229"/>
      <x:c r="F36" s="229"/>
      <x:c r="G36" s="229"/>
      <x:c r="H36" s="229"/>
      <x:c r="I36" s="229"/>
      <x:c r="J36" s="229"/>
      <x:c r="K36" s="229"/>
      <x:c r="L36" s="229"/>
      <x:c r="M36" s="229"/>
      <x:c r="N36" s="229"/>
    </x:row>
    <x:row r="37">
      <x:c r="A37" s="229"/>
      <x:c r="B37" s="229"/>
      <x:c r="C37" s="229"/>
      <x:c r="D37" s="229"/>
      <x:c r="E37" s="229"/>
      <x:c r="F37" s="229"/>
      <x:c r="G37" s="229"/>
      <x:c r="H37" s="229"/>
      <x:c r="I37" s="229"/>
      <x:c r="J37" s="229"/>
      <x:c r="K37" s="229"/>
      <x:c r="L37" s="229"/>
      <x:c r="M37" s="229"/>
      <x:c r="N37" s="229"/>
    </x:row>
    <x:row r="38">
      <x:c r="A38" s="229"/>
      <x:c r="B38" s="229"/>
      <x:c r="C38" s="229"/>
      <x:c r="D38" s="229"/>
      <x:c r="E38" s="229"/>
      <x:c r="F38" s="229"/>
      <x:c r="G38" s="229"/>
      <x:c r="H38" s="229"/>
      <x:c r="I38" s="229"/>
      <x:c r="J38" s="229"/>
      <x:c r="K38" s="229"/>
      <x:c r="L38" s="229"/>
      <x:c r="M38" s="229"/>
      <x:c r="N38" s="229"/>
    </x:row>
    <x:row r="39">
      <x:c r="A39" s="229"/>
      <x:c r="B39" s="229"/>
      <x:c r="C39" s="229"/>
      <x:c r="D39" s="229"/>
      <x:c r="E39" s="229"/>
      <x:c r="F39" s="229"/>
      <x:c r="G39" s="229"/>
      <x:c r="H39" s="229"/>
      <x:c r="I39" s="229"/>
      <x:c r="J39" s="229"/>
      <x:c r="K39" s="229"/>
      <x:c r="L39" s="229"/>
      <x:c r="M39" s="229"/>
      <x:c r="N39" s="229"/>
    </x:row>
    <x:row r="40">
      <x:c r="A40" s="229"/>
      <x:c r="B40" s="229"/>
      <x:c r="C40" s="229"/>
      <x:c r="D40" s="229"/>
      <x:c r="E40" s="229"/>
      <x:c r="F40" s="229"/>
      <x:c r="G40" s="229"/>
      <x:c r="H40" s="229"/>
      <x:c r="I40" s="229"/>
      <x:c r="J40" s="229"/>
      <x:c r="K40" s="229"/>
      <x:c r="L40" s="229"/>
      <x:c r="M40" s="229"/>
      <x:c r="N40" s="229"/>
    </x:row>
    <x:row r="41">
      <x:c r="A41" s="229"/>
      <x:c r="B41" s="229"/>
      <x:c r="C41" s="229"/>
      <x:c r="D41" s="229"/>
      <x:c r="E41" s="229"/>
      <x:c r="F41" s="229"/>
      <x:c r="G41" s="229"/>
      <x:c r="H41" s="229"/>
      <x:c r="I41" s="229"/>
      <x:c r="J41" s="229"/>
      <x:c r="K41" s="229"/>
      <x:c r="L41" s="229"/>
      <x:c r="M41" s="229"/>
      <x:c r="N41" s="229"/>
    </x:row>
    <x:row r="42">
      <x:c r="A42" s="229"/>
      <x:c r="B42" s="229"/>
      <x:c r="C42" s="229"/>
      <x:c r="D42" s="229"/>
      <x:c r="E42" s="229"/>
      <x:c r="F42" s="229"/>
      <x:c r="G42" s="229"/>
      <x:c r="H42" s="229"/>
      <x:c r="I42" s="229"/>
      <x:c r="J42" s="229"/>
      <x:c r="K42" s="229"/>
      <x:c r="L42" s="229"/>
      <x:c r="M42" s="229"/>
      <x:c r="N42" s="229"/>
    </x:row>
    <x:row r="43">
      <x:c r="A43" s="229"/>
      <x:c r="B43" s="229"/>
      <x:c r="C43" s="229"/>
      <x:c r="D43" s="229"/>
      <x:c r="E43" s="229"/>
      <x:c r="F43" s="229"/>
      <x:c r="G43" s="229"/>
      <x:c r="H43" s="229"/>
      <x:c r="I43" s="229"/>
      <x:c r="J43" s="229"/>
      <x:c r="K43" s="229"/>
      <x:c r="L43" s="229"/>
      <x:c r="M43" s="229"/>
      <x:c r="N43" s="229"/>
    </x:row>
    <x:row r="44">
      <x:c r="A44" s="229"/>
      <x:c r="B44" s="229"/>
      <x:c r="C44" s="229"/>
      <x:c r="D44" s="229"/>
      <x:c r="E44" s="229"/>
      <x:c r="F44" s="229"/>
      <x:c r="G44" s="229"/>
      <x:c r="H44" s="229"/>
      <x:c r="I44" s="229"/>
      <x:c r="J44" s="229"/>
      <x:c r="K44" s="229"/>
      <x:c r="L44" s="229"/>
      <x:c r="M44" s="229"/>
      <x:c r="N44" s="229"/>
    </x:row>
    <x:row r="45" ht="22" customHeight="1">
      <x:c r="A45" s="257" t="str">
        <x:v>Workbook Map and Use Notes</x:v>
      </x:c>
      <x:c r="B45" s="257"/>
      <x:c r="C45" s="257"/>
      <x:c r="D45" s="257"/>
      <x:c r="E45" s="257"/>
      <x:c r="F45" s="257"/>
      <x:c r="G45" s="257"/>
      <x:c r="H45" s="257"/>
      <x:c r="I45" s="257"/>
      <x:c r="J45" s="257"/>
      <x:c r="K45" s="257"/>
      <x:c r="L45" s="257"/>
      <x:c r="M45" s="257"/>
      <x:c r="N45" s="257"/>
    </x:row>
    <x:row r="46">
      <x:c r="A46" s="264" t="str">
        <x:v>Sheet</x:v>
      </x:c>
      <x:c r="B46" s="265" t="str">
        <x:v>Purpose</x:v>
      </x:c>
      <x:c r="C46" s="265" t="str">
        <x:v>Primary use</x:v>
      </x:c>
      <x:c r="D46" s="266" t="str">
        <x:v>Status</x:v>
      </x:c>
      <x:c r="E46" s="229"/>
      <x:c r="F46" s="267" t="str">
        <x:v>Do not use the Q1 2026 snapshot as an annualized ROCE or ROIC. The normalized tax rate and R&amp;D-adjusted figures are analyst assumptions, not company-reported measures. Compare ROIC with a separately estimated WACC. The workbook is suitable for research and model development, not as standalone investment advice.</x:v>
      </x:c>
      <x:c r="G46" s="267"/>
      <x:c r="H46" s="267"/>
      <x:c r="I46" s="267"/>
      <x:c r="J46" s="267"/>
      <x:c r="K46" s="267"/>
      <x:c r="L46" s="267"/>
      <x:c r="M46" s="267"/>
      <x:c r="N46" s="267"/>
    </x:row>
    <x:row r="47" ht="40" customHeight="1">
      <x:c r="A47" s="268" t="str">
        <x:v>Capital Employed</x:v>
      </x:c>
      <x:c r="B47" s="268" t="str">
        <x:v>Reported, operating, tangible and R&amp;D-adjusted CE plus ROIC</x:v>
      </x:c>
      <x:c r="C47" s="268" t="str">
        <x:v>Core analytical schedule</x:v>
      </x:c>
      <x:c r="D47" s="268" t="str">
        <x:v>Ready</x:v>
      </x:c>
      <x:c r="E47" s="229"/>
      <x:c r="F47" s="267"/>
      <x:c r="G47" s="267"/>
      <x:c r="H47" s="267"/>
      <x:c r="I47" s="267"/>
      <x:c r="J47" s="267"/>
      <x:c r="K47" s="267"/>
      <x:c r="L47" s="267"/>
      <x:c r="M47" s="267"/>
      <x:c r="N47" s="267"/>
    </x:row>
    <x:row r="48" ht="40" customHeight="1">
      <x:c r="A48" s="268" t="str">
        <x:v>R&amp;D Adjustment</x:v>
      </x:c>
      <x:c r="B48" s="268" t="str">
        <x:v>Research-asset vintage schedule</x:v>
      </x:c>
      <x:c r="C48" s="268" t="str">
        <x:v>Economic capital adjustment</x:v>
      </x:c>
      <x:c r="D48" s="268" t="str">
        <x:v>Ready from FY2021</x:v>
      </x:c>
      <x:c r="E48" s="229"/>
      <x:c r="F48" s="267"/>
      <x:c r="G48" s="267"/>
      <x:c r="H48" s="267"/>
      <x:c r="I48" s="267"/>
      <x:c r="J48" s="267"/>
      <x:c r="K48" s="267"/>
      <x:c r="L48" s="267"/>
      <x:c r="M48" s="267"/>
      <x:c r="N48" s="267"/>
    </x:row>
    <x:row r="49" ht="40" customHeight="1">
      <x:c r="A49" s="268" t="str">
        <x:v>Assumptions</x:v>
      </x:c>
      <x:c r="B49" s="268" t="str">
        <x:v>Editable cash floor, R&amp;D life and tax rate</x:v>
      </x:c>
      <x:c r="C49" s="268" t="str">
        <x:v>Sensitivity inputs</x:v>
      </x:c>
      <x:c r="D49" s="268" t="str">
        <x:v>Editable</x:v>
      </x:c>
      <x:c r="E49" s="229"/>
      <x:c r="F49" s="267"/>
      <x:c r="G49" s="267"/>
      <x:c r="H49" s="267"/>
      <x:c r="I49" s="267"/>
      <x:c r="J49" s="267"/>
      <x:c r="K49" s="267"/>
      <x:c r="L49" s="267"/>
      <x:c r="M49" s="267"/>
      <x:c r="N49" s="267"/>
    </x:row>
    <x:row r="50" ht="40" customHeight="1">
      <x:c r="A50" s="268" t="str">
        <x:v>Source Data</x:v>
      </x:c>
      <x:c r="B50" s="268" t="str">
        <x:v>Normalized SEC facts</x:v>
      </x:c>
      <x:c r="C50" s="268" t="str">
        <x:v>Audit trail</x:v>
      </x:c>
      <x:c r="D50" s="268" t="str">
        <x:v>Source-backed</x:v>
      </x:c>
      <x:c r="E50" s="229"/>
      <x:c r="F50" s="267"/>
      <x:c r="G50" s="267"/>
      <x:c r="H50" s="267"/>
      <x:c r="I50" s="267"/>
      <x:c r="J50" s="267"/>
      <x:c r="K50" s="267"/>
      <x:c r="L50" s="267"/>
      <x:c r="M50" s="267"/>
      <x:c r="N50" s="267"/>
    </x:row>
    <x:row r="51" ht="40" customHeight="1">
      <x:c r="A51" s="268" t="str">
        <x:v>Sources &amp; Audit</x:v>
      </x:c>
      <x:c r="B51" s="268" t="str">
        <x:v>Source index, assumptions, QA flags</x:v>
      </x:c>
      <x:c r="C51" s="268" t="str">
        <x:v>Review</x:v>
      </x:c>
      <x:c r="D51" s="268" t="str">
        <x:v>Research-grade</x:v>
      </x:c>
      <x:c r="E51" s="229"/>
      <x:c r="F51" s="267"/>
      <x:c r="G51" s="267"/>
      <x:c r="H51" s="267"/>
      <x:c r="I51" s="267"/>
      <x:c r="J51" s="267"/>
      <x:c r="K51" s="267"/>
      <x:c r="L51" s="267"/>
      <x:c r="M51" s="267"/>
      <x:c r="N51" s="267"/>
    </x:row>
    <x:row r="52" ht="40" customHeight="1">
      <x:c r="A52" s="268" t="str">
        <x:v>Checks</x:v>
      </x:c>
      <x:c r="B52" s="268" t="str">
        <x:v>Formula and tie-out checks</x:v>
      </x:c>
      <x:c r="C52" s="268" t="str">
        <x:v>Model QA</x:v>
      </x:c>
      <x:c r="D52" s="268" t="str">
        <x:v>Must show OK</x:v>
      </x:c>
      <x:c r="E52" s="229"/>
      <x:c r="F52" s="229"/>
      <x:c r="G52" s="229"/>
      <x:c r="H52" s="229"/>
      <x:c r="I52" s="229"/>
      <x:c r="J52" s="229"/>
      <x:c r="K52" s="229"/>
      <x:c r="L52" s="229"/>
      <x:c r="M52" s="229"/>
      <x:c r="N52" s="229"/>
    </x:row>
    <x:row r="53">
      <x:c r="A53" s="229"/>
      <x:c r="B53" s="229"/>
      <x:c r="C53" s="229"/>
      <x:c r="D53" s="229"/>
      <x:c r="E53" s="229"/>
      <x:c r="F53" s="229"/>
      <x:c r="G53" s="229"/>
      <x:c r="H53" s="229"/>
      <x:c r="I53" s="229"/>
      <x:c r="J53" s="229"/>
      <x:c r="K53" s="229"/>
      <x:c r="L53" s="229"/>
      <x:c r="M53" s="229"/>
      <x:c r="N53" s="229"/>
    </x:row>
    <x:row r="54">
      <x:c r="A54" s="229"/>
      <x:c r="B54" s="229"/>
      <x:c r="C54" s="229"/>
      <x:c r="D54" s="229"/>
      <x:c r="E54" s="229"/>
      <x:c r="F54" s="229"/>
      <x:c r="G54" s="229"/>
      <x:c r="H54" s="229"/>
      <x:c r="I54" s="229"/>
      <x:c r="J54" s="229"/>
      <x:c r="K54" s="229"/>
      <x:c r="L54" s="229"/>
      <x:c r="M54" s="229"/>
      <x:c r="N54" s="229"/>
    </x:row>
    <x:row r="55">
      <x:c r="A55" s="229"/>
      <x:c r="B55" s="229"/>
      <x:c r="C55" s="229"/>
      <x:c r="D55" s="229"/>
      <x:c r="E55" s="229"/>
      <x:c r="F55" s="229"/>
      <x:c r="G55" s="229"/>
      <x:c r="H55" s="229"/>
      <x:c r="I55" s="229"/>
      <x:c r="J55" s="229"/>
      <x:c r="K55" s="229"/>
      <x:c r="L55" s="229"/>
      <x:c r="M55" s="229"/>
      <x:c r="N55" s="229"/>
    </x:row>
  </x:sheetData>
  <x:mergeCells>
    <x:mergeCell ref="A1:N1"/>
    <x:mergeCell ref="A2:N2"/>
    <x:mergeCell ref="A6:C6"/>
    <x:mergeCell ref="A7:C8"/>
    <x:mergeCell ref="E6:G6"/>
    <x:mergeCell ref="E7:G8"/>
    <x:mergeCell ref="I6:K6"/>
    <x:mergeCell ref="I7:K8"/>
    <x:mergeCell ref="M6:N6"/>
    <x:mergeCell ref="M7:N8"/>
    <x:mergeCell ref="A10:N10"/>
    <x:mergeCell ref="A11:N13"/>
    <x:mergeCell ref="A45:N45"/>
    <x:mergeCell ref="F46:N46"/>
    <x:mergeCell ref="F47:N47"/>
    <x:mergeCell ref="F48:N48"/>
    <x:mergeCell ref="F49:N49"/>
    <x:mergeCell ref="F50:N50"/>
    <x:mergeCell ref="F51:N51"/>
  </x:mergeCells>
  <x:conditionalFormatting sqref="B4:B4">
    <x:cfRule type="containsText" dxfId="5" priority="1" operator="containsText" text="OK"/>
  </x:conditionalFormatting>
  <x:pageMargins left="0.7" right="0.7" top="0.75" bottom="0.75" header="0.3" footer="0.3"/>
  <x:drawing xmlns:r="http://schemas.openxmlformats.org/officeDocument/2006/relationships" r:id="R037d0931a52a448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8" hidden="0" customWidth="1"/>
    <x:col min="4" max="4" width="22" hidden="0" customWidth="1"/>
    <x:col min="5" max="5" width="14" hidden="0" customWidth="1"/>
    <x:col min="6" max="6" width="66" hidden="0" customWidth="1"/>
  </x:cols>
  <x:sheetData>
    <x:row r="1" ht="34" customHeight="1">
      <x:c r="A1" s="227" t="str">
        <x:v>Datadog Capital Employed and ROIC — Assumptions</x:v>
      </x:c>
      <x:c r="B1" s="227"/>
      <x:c r="C1" s="227"/>
      <x:c r="D1" s="227"/>
      <x:c r="E1" s="227"/>
      <x:c r="F1" s="227"/>
    </x:row>
    <x:row r="2">
      <x:c r="A2" s="269"/>
      <x:c r="B2" s="269"/>
      <x:c r="C2" s="269"/>
      <x:c r="D2" s="269"/>
      <x:c r="E2" s="269"/>
      <x:c r="F2" s="269"/>
    </x:row>
    <x:row r="3">
      <x:c r="A3" s="259" t="str">
        <x:v>Assumption</x:v>
      </x:c>
      <x:c r="B3" s="260" t="str">
        <x:v>Value</x:v>
      </x:c>
      <x:c r="C3" s="260" t="str">
        <x:v>Unit</x:v>
      </x:c>
      <x:c r="D3" s="260" t="str">
        <x:v>Evidence label</x:v>
      </x:c>
      <x:c r="E3" s="260" t="str">
        <x:v>Confidence</x:v>
      </x:c>
      <x:c r="F3" s="261" t="str">
        <x:v>Rationale</x:v>
      </x:c>
    </x:row>
    <x:row r="4" ht="28" customHeight="1">
      <x:c r="A4" s="269" t="str">
        <x:v>Operating cash floor</x:v>
      </x:c>
      <x:c r="B4" s="270" t="n">
        <x:v>0.02</x:v>
      </x:c>
      <x:c r="C4" s="269" t="str">
        <x:v>% of revenue</x:v>
      </x:c>
      <x:c r="D4" s="269" t="str">
        <x:v>assumption_inferred</x:v>
      </x:c>
      <x:c r="E4" s="269" t="str">
        <x:v>Medium</x:v>
      </x:c>
      <x:c r="F4" s="271" t="str">
        <x:v>Retain a modest cash buffer; all marketable securities remain non-operating.</x:v>
      </x:c>
    </x:row>
    <x:row r="5" ht="28" customHeight="1">
      <x:c r="A5" s="269" t="str">
        <x:v>R&amp;D useful life</x:v>
      </x:c>
      <x:c r="B5" s="272" t="n">
        <x:v>4</x:v>
      </x:c>
      <x:c r="C5" s="269" t="str">
        <x:v>Years</x:v>
      </x:c>
      <x:c r="D5" s="269" t="str">
        <x:v>assumption_inferred</x:v>
      </x:c>
      <x:c r="E5" s="269" t="str">
        <x:v>Medium</x:v>
      </x:c>
      <x:c r="F5" s="271" t="str">
        <x:v>Base case for a fast-moving SaaS platform; change to 3 or 5 for sensitivity.</x:v>
      </x:c>
    </x:row>
    <x:row r="6" ht="28" customHeight="1">
      <x:c r="A6" s="269" t="str">
        <x:v>Include operating lease liabilities</x:v>
      </x:c>
      <x:c r="B6" s="272" t="n">
        <x:v>1</x:v>
      </x:c>
      <x:c r="C6" s="269" t="str">
        <x:v>1=yes / 0=no</x:v>
      </x:c>
      <x:c r="D6" s="269" t="str">
        <x:v>analyst_adjusted</x:v>
      </x:c>
      <x:c r="E6" s="269" t="str">
        <x:v>High</x:v>
      </x:c>
      <x:c r="F6" s="271" t="str">
        <x:v>Leases are treated as financing while the right-of-use asset remains operating.</x:v>
      </x:c>
    </x:row>
    <x:row r="7" ht="28" customHeight="1">
      <x:c r="A7" s="269" t="str">
        <x:v>Exclude marketable securities</x:v>
      </x:c>
      <x:c r="B7" s="272" t="n">
        <x:v>1</x:v>
      </x:c>
      <x:c r="C7" s="269" t="str">
        <x:v>1=yes / 0=no</x:v>
      </x:c>
      <x:c r="D7" s="269" t="str">
        <x:v>analyst_adjusted</x:v>
      </x:c>
      <x:c r="E7" s="269" t="str">
        <x:v>High</x:v>
      </x:c>
      <x:c r="F7" s="271" t="str">
        <x:v>Securities generate interest income outside EBIT and are excluded from operating capital.</x:v>
      </x:c>
    </x:row>
    <x:row r="8" ht="28" customHeight="1">
      <x:c r="A8" s="269" t="str">
        <x:v>Normalized tax rate</x:v>
      </x:c>
      <x:c r="B8" s="270" t="n">
        <x:v>0.21</x:v>
      </x:c>
      <x:c r="C8" s="269" t="str">
        <x:v>% of adjusted EBIT</x:v>
      </x:c>
      <x:c r="D8" s="269" t="str">
        <x:v>assumption_inferred</x:v>
      </x:c>
      <x:c r="E8" s="269" t="str">
        <x:v>Medium</x:v>
      </x:c>
      <x:c r="F8" s="271" t="str">
        <x:v>Applied to R&amp;D-adjusted EBIT to estimate normalized NOPAT; this is not Datadog's reported effective tax rate.</x:v>
      </x:c>
    </x:row>
    <x:row r="9">
      <x:c r="A9" s="269"/>
      <x:c r="B9" s="269"/>
      <x:c r="C9" s="269"/>
      <x:c r="D9" s="269"/>
      <x:c r="E9" s="269"/>
      <x:c r="F9" s="269"/>
    </x:row>
    <x:row r="10">
      <x:c r="A10" s="273" t="str">
        <x:v>Conventions</x:v>
      </x:c>
      <x:c r="B10" s="273"/>
      <x:c r="C10" s="273"/>
      <x:c r="D10" s="273"/>
      <x:c r="E10" s="273"/>
      <x:c r="F10" s="273"/>
    </x:row>
    <x:row r="11">
      <x:c r="A11" s="274" t="str">
        <x:v>Operating CE = Equity + convertible debt + lease liabilities − cash − marketable securities + required operating cash.</x:v>
      </x:c>
      <x:c r="B11" s="274"/>
      <x:c r="C11" s="274"/>
      <x:c r="D11" s="274"/>
      <x:c r="E11" s="274"/>
      <x:c r="F11" s="274"/>
    </x:row>
    <x:row r="12">
      <x:c r="A12" s="274" t="str">
        <x:v>Deferred revenue is treated as non-interest-bearing customer financing. Goodwill stays in the primary measure; tangible CE is shown separately.</x:v>
      </x:c>
      <x:c r="B12" s="274"/>
      <x:c r="C12" s="274"/>
      <x:c r="D12" s="274"/>
      <x:c r="E12" s="274"/>
      <x:c r="F12" s="274"/>
    </x:row>
  </x:sheetData>
  <x:mergeCells>
    <x:mergeCell ref="A1:F1"/>
    <x:mergeCell ref="A10:F10"/>
    <x:mergeCell ref="A11:F11"/>
    <x:mergeCell ref="A12:F12"/>
  </x:mergeCells>
  <x:dataValidations count="2">
    <x:dataValidation type="list" sqref="B5">
      <x:formula1>"3,4,5"</x:formula1>
    </x:dataValidation>
    <x:dataValidation type="list" sqref="B6:B7">
      <x:formula1>"0,1"</x:formula1>
    </x:dataValidation>
  </x:dataValidations>
  <x:pageMargins left="0.7" right="0.7" top="0.75" bottom="0.75" header="0.3" footer="0.3"/>
  <x:legacyDrawing xmlns:r="http://schemas.openxmlformats.org/officeDocument/2006/relationships" r:id="Rf67d688e776e4fb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</x:cols>
  <x:sheetData>
    <x:row r="1" ht="34" customHeight="1">
      <x:c r="A1" s="227" t="str">
        <x:v>Datadog — Capital Employed and ROIC Dynamics</x:v>
      </x:c>
      <x:c r="B1" s="227"/>
      <x:c r="C1" s="227"/>
      <x:c r="D1" s="227"/>
      <x:c r="E1" s="227"/>
      <x:c r="F1" s="227"/>
      <x:c r="G1" s="227"/>
      <x:c r="H1" s="227"/>
      <x:c r="I1" s="227"/>
      <x:c r="J1" s="227"/>
    </x:row>
    <x:row r="2">
      <x:c r="A2" s="274" t="str">
        <x:v>Primary measure: operating capital employed with a 2% revenue cash floor, marketable securities excluded, and leases treated as financing. USD millions.</x:v>
      </x:c>
      <x:c r="B2" s="274"/>
      <x:c r="C2" s="274"/>
      <x:c r="D2" s="274"/>
      <x:c r="E2" s="274"/>
      <x:c r="F2" s="274"/>
      <x:c r="G2" s="274"/>
      <x:c r="H2" s="274"/>
      <x:c r="I2" s="274"/>
      <x:c r="J2" s="274"/>
    </x:row>
    <x:row r="3">
      <x:c r="A3" s="269"/>
      <x:c r="B3" s="269"/>
      <x:c r="C3" s="269"/>
      <x:c r="D3" s="269"/>
      <x:c r="E3" s="269"/>
      <x:c r="F3" s="269"/>
      <x:c r="G3" s="269"/>
      <x:c r="H3" s="269"/>
      <x:c r="I3" s="269"/>
      <x:c r="J3" s="269"/>
    </x:row>
    <x:row r="4">
      <x:c r="A4" s="269"/>
      <x:c r="B4" s="269"/>
      <x:c r="C4" s="269"/>
      <x:c r="D4" s="269"/>
      <x:c r="E4" s="269"/>
      <x:c r="F4" s="269"/>
      <x:c r="G4" s="269"/>
      <x:c r="H4" s="269"/>
      <x:c r="I4" s="269"/>
      <x:c r="J4" s="269"/>
    </x:row>
    <x:row r="5">
      <x:c r="A5" s="275" t="str">
        <x:v>Period</x:v>
      </x:c>
      <x:c r="B5" s="276"/>
      <x:c r="C5" s="277" t="str">
        <x:f>'Source Data'!C6</x:f>
        <x:v>FY2019</x:v>
      </x:c>
      <x:c r="D5" s="277" t="str">
        <x:f>'Source Data'!D6</x:f>
        <x:v>FY2020</x:v>
      </x:c>
      <x:c r="E5" s="277" t="str">
        <x:f>'Source Data'!E6</x:f>
        <x:v>FY2021</x:v>
      </x:c>
      <x:c r="F5" s="277" t="str">
        <x:f>'Source Data'!F6</x:f>
        <x:v>FY2022</x:v>
      </x:c>
      <x:c r="G5" s="277" t="str">
        <x:f>'Source Data'!G6</x:f>
        <x:v>FY2023</x:v>
      </x:c>
      <x:c r="H5" s="277" t="str">
        <x:f>'Source Data'!H6</x:f>
        <x:v>FY2024</x:v>
      </x:c>
      <x:c r="I5" s="277" t="str">
        <x:f>'Source Data'!I6</x:f>
        <x:v>FY2025</x:v>
      </x:c>
      <x:c r="J5" s="278" t="str">
        <x:f>'Source Data'!J6</x:f>
        <x:v>Q1 2026</x:v>
      </x:c>
    </x:row>
    <x:row r="6">
      <x:c r="A6" s="279" t="str">
        <x:v>Period end</x:v>
      </x:c>
      <x:c r="B6" s="280"/>
      <x:c r="C6" s="281" t="n">
        <x:f>'Source Data'!C7</x:f>
        <x:v>43830</x:v>
      </x:c>
      <x:c r="D6" s="281" t="n">
        <x:f>'Source Data'!D7</x:f>
        <x:v>44196</x:v>
      </x:c>
      <x:c r="E6" s="281" t="n">
        <x:f>'Source Data'!E7</x:f>
        <x:v>44561</x:v>
      </x:c>
      <x:c r="F6" s="281" t="n">
        <x:f>'Source Data'!F7</x:f>
        <x:v>44926</x:v>
      </x:c>
      <x:c r="G6" s="281" t="n">
        <x:f>'Source Data'!G7</x:f>
        <x:v>45291</x:v>
      </x:c>
      <x:c r="H6" s="281" t="n">
        <x:f>'Source Data'!H7</x:f>
        <x:v>45657</x:v>
      </x:c>
      <x:c r="I6" s="281" t="n">
        <x:f>'Source Data'!I7</x:f>
        <x:v>46022</x:v>
      </x:c>
      <x:c r="J6" s="282" t="n">
        <x:f>'Source Data'!J7</x:f>
        <x:v>46112</x:v>
      </x:c>
    </x:row>
    <x:row r="7">
      <x:c r="A7" s="269"/>
      <x:c r="B7" s="269"/>
      <x:c r="C7" s="269"/>
      <x:c r="D7" s="269"/>
      <x:c r="E7" s="269"/>
      <x:c r="F7" s="269"/>
      <x:c r="G7" s="269"/>
      <x:c r="H7" s="269"/>
      <x:c r="I7" s="269"/>
      <x:c r="J7" s="269"/>
    </x:row>
    <x:row r="8" ht="22" customHeight="1">
      <x:c r="A8" s="257" t="str">
        <x:v>Reported Capital Employed</x:v>
      </x:c>
      <x:c r="B8" s="257"/>
      <x:c r="C8" s="257"/>
      <x:c r="D8" s="257"/>
      <x:c r="E8" s="257"/>
      <x:c r="F8" s="257"/>
      <x:c r="G8" s="257"/>
      <x:c r="H8" s="257"/>
      <x:c r="I8" s="257"/>
      <x:c r="J8" s="257"/>
    </x:row>
    <x:row r="9">
      <x:c r="A9" s="269" t="str">
        <x:v>Total assets</x:v>
      </x:c>
      <x:c r="B9" s="269"/>
      <x:c r="C9" s="283" t="n">
        <x:f>'Source Data'!C12</x:f>
        <x:v>1038.041</x:v>
      </x:c>
      <x:c r="D9" s="283" t="n">
        <x:f>'Source Data'!D12</x:f>
        <x:v>1890.285</x:v>
      </x:c>
      <x:c r="E9" s="283" t="n">
        <x:f>'Source Data'!E12</x:f>
        <x:v>2380.794</x:v>
      </x:c>
      <x:c r="F9" s="283" t="n">
        <x:f>'Source Data'!F12</x:f>
        <x:v>3004.852</x:v>
      </x:c>
      <x:c r="G9" s="283" t="n">
        <x:f>'Source Data'!G12</x:f>
        <x:v>3936.072</x:v>
      </x:c>
      <x:c r="H9" s="283" t="n">
        <x:f>'Source Data'!H12</x:f>
        <x:v>5785.339</x:v>
      </x:c>
      <x:c r="I9" s="283" t="n">
        <x:f>'Source Data'!I12</x:f>
        <x:v>6643.844</x:v>
      </x:c>
      <x:c r="J9" s="283" t="n">
        <x:f>'Source Data'!J12</x:f>
        <x:v>6952.012</x:v>
      </x:c>
    </x:row>
    <x:row r="10">
      <x:c r="A10" s="269" t="str">
        <x:v>Current liabilities</x:v>
      </x:c>
      <x:c r="B10" s="269"/>
      <x:c r="C10" s="283" t="n">
        <x:f>'Source Data'!C15</x:f>
        <x:v>200.239</x:v>
      </x:c>
      <x:c r="D10" s="283" t="n">
        <x:f>'Source Data'!D15</x:f>
        <x:v>297.844</x:v>
      </x:c>
      <x:c r="E10" s="283" t="n">
        <x:f>'Source Data'!E15</x:f>
        <x:v>528.696</x:v>
      </x:c>
      <x:c r="F10" s="283" t="n">
        <x:f>'Source Data'!F15</x:f>
        <x:v>759.748</x:v>
      </x:c>
      <x:c r="G10" s="283" t="n">
        <x:f>'Source Data'!G15</x:f>
        <x:v>1003.052</x:v>
      </x:c>
      <x:c r="H10" s="283" t="n">
        <x:f>'Source Data'!H15</x:f>
        <x:v>1862.713</x:v>
      </x:c>
      <x:c r="I10" s="283" t="n">
        <x:f>'Source Data'!I15</x:f>
        <x:v>1591.401</x:v>
      </x:c>
      <x:c r="J10" s="283" t="n">
        <x:f>'Source Data'!J15</x:f>
        <x:v>1655.903</x:v>
      </x:c>
    </x:row>
    <x:row r="11">
      <x:c r="A11" s="284" t="str">
        <x:v>Reported CE = Assets − Current liabilities</x:v>
      </x:c>
      <x:c r="B11" s="284"/>
      <x:c r="C11" s="285" t="n">
        <x:f>C9-C10</x:f>
        <x:v>837.8019999999999</x:v>
      </x:c>
      <x:c r="D11" s="285" t="n">
        <x:f>D9-D10</x:f>
        <x:v>1592.441</x:v>
      </x:c>
      <x:c r="E11" s="285" t="n">
        <x:f>E9-E10</x:f>
        <x:v>1852.098</x:v>
      </x:c>
      <x:c r="F11" s="285" t="n">
        <x:f>F9-F10</x:f>
        <x:v>2245.104</x:v>
      </x:c>
      <x:c r="G11" s="285" t="n">
        <x:f>G9-G10</x:f>
        <x:v>2933.02</x:v>
      </x:c>
      <x:c r="H11" s="285" t="n">
        <x:f>H9-H10</x:f>
        <x:v>3922.626</x:v>
      </x:c>
      <x:c r="I11" s="285" t="n">
        <x:f>I9-I10</x:f>
        <x:v>5052.443</x:v>
      </x:c>
      <x:c r="J11" s="285" t="n">
        <x:f>J9-J10</x:f>
        <x:v>5296.1089999999995</x:v>
      </x:c>
    </x:row>
    <x:row r="12">
      <x:c r="A12" s="269"/>
      <x:c r="B12" s="269"/>
      <x:c r="C12" s="286"/>
      <x:c r="D12" s="286"/>
      <x:c r="E12" s="286"/>
      <x:c r="F12" s="286"/>
      <x:c r="G12" s="286"/>
      <x:c r="H12" s="286"/>
      <x:c r="I12" s="286"/>
      <x:c r="J12" s="286"/>
    </x:row>
    <x:row r="13" ht="22" customHeight="1">
      <x:c r="A13" s="257" t="str">
        <x:v>Operating Capital Employed — Financing Approach</x:v>
      </x:c>
      <x:c r="B13" s="257"/>
      <x:c r="C13" s="287"/>
      <x:c r="D13" s="287"/>
      <x:c r="E13" s="287"/>
      <x:c r="F13" s="287"/>
      <x:c r="G13" s="287"/>
      <x:c r="H13" s="287"/>
      <x:c r="I13" s="287"/>
      <x:c r="J13" s="287"/>
    </x:row>
    <x:row r="14">
      <x:c r="A14" s="269" t="str">
        <x:v>Stockholders' equity</x:v>
      </x:c>
      <x:c r="B14" s="269"/>
      <x:c r="C14" s="283" t="n">
        <x:f>'Source Data'!C16</x:f>
        <x:v>782.341</x:v>
      </x:c>
      <x:c r="D14" s="283" t="n">
        <x:f>'Source Data'!D16</x:f>
        <x:v>957.432</x:v>
      </x:c>
      <x:c r="E14" s="283" t="n">
        <x:f>'Source Data'!E16</x:f>
        <x:v>1041.203</x:v>
      </x:c>
      <x:c r="F14" s="283" t="n">
        <x:f>'Source Data'!F16</x:f>
        <x:v>1410.505</x:v>
      </x:c>
      <x:c r="G14" s="283" t="n">
        <x:f>'Source Data'!G16</x:f>
        <x:v>2025.354</x:v>
      </x:c>
      <x:c r="H14" s="283" t="n">
        <x:f>'Source Data'!H16</x:f>
        <x:v>2714.363</x:v>
      </x:c>
      <x:c r="I14" s="283" t="n">
        <x:f>'Source Data'!I16</x:f>
        <x:v>3732.206</x:v>
      </x:c>
      <x:c r="J14" s="283" t="n">
        <x:f>'Source Data'!J16</x:f>
        <x:v>3988.222</x:v>
      </x:c>
    </x:row>
    <x:row r="15">
      <x:c r="A15" s="269" t="str">
        <x:v>Convertible debt</x:v>
      </x:c>
      <x:c r="B15" s="269"/>
      <x:c r="C15" s="283" t="n">
        <x:f>SUM('Source Data'!C19:C20)</x:f>
        <x:v>0</x:v>
      </x:c>
      <x:c r="D15" s="283" t="n">
        <x:f>SUM('Source Data'!D19:D20)</x:f>
        <x:v>575.864</x:v>
      </x:c>
      <x:c r="E15" s="283" t="n">
        <x:f>SUM('Source Data'!E19:E20)</x:f>
        <x:v>735.482</x:v>
      </x:c>
      <x:c r="F15" s="283" t="n">
        <x:f>SUM('Source Data'!F19:F20)</x:f>
        <x:v>738.847</x:v>
      </x:c>
      <x:c r="G15" s="283" t="n">
        <x:f>SUM('Source Data'!G19:G20)</x:f>
        <x:v>742.235</x:v>
      </x:c>
      <x:c r="H15" s="283" t="n">
        <x:f>SUM('Source Data'!H19:H20)</x:f>
        <x:v>1613.305</x:v>
      </x:c>
      <x:c r="I15" s="283" t="n">
        <x:f>SUM('Source Data'!I19:I20)</x:f>
        <x:v>983.449</x:v>
      </x:c>
      <x:c r="J15" s="283" t="n">
        <x:f>SUM('Source Data'!J19:J20)</x:f>
        <x:v>984.496</x:v>
      </x:c>
    </x:row>
    <x:row r="16">
      <x:c r="A16" s="269" t="str">
        <x:v>Operating lease liabilities</x:v>
      </x:c>
      <x:c r="B16" s="269"/>
      <x:c r="C16" s="283" t="n">
        <x:f>SUM('Source Data'!C21:C22)*'Assumptions'!$B$6</x:f>
        <x:v>60.426</x:v>
      </x:c>
      <x:c r="D16" s="283" t="n">
        <x:f>SUM('Source Data'!D21:D22)*'Assumptions'!$B$6</x:f>
        <x:v>67.759</x:v>
      </x:c>
      <x:c r="E16" s="283" t="n">
        <x:f>SUM('Source Data'!E21:E22)*'Assumptions'!$B$6</x:f>
        <x:v>72.263</x:v>
      </x:c>
      <x:c r="F16" s="283" t="n">
        <x:f>SUM('Source Data'!F21:F22)*'Assumptions'!$B$6</x:f>
        <x:v>98.67399999999999</x:v>
      </x:c>
      <x:c r="G16" s="283" t="n">
        <x:f>SUM('Source Data'!G21:G22)*'Assumptions'!$B$6</x:f>
        <x:v>160.10199999999998</x:v>
      </x:c>
      <x:c r="H16" s="283" t="n">
        <x:f>SUM('Source Data'!H21:H22)*'Assumptions'!$B$6</x:f>
        <x:v>228.875</x:v>
      </x:c>
      <x:c r="I16" s="283" t="n">
        <x:f>SUM('Source Data'!I21:I22)*'Assumptions'!$B$6</x:f>
        <x:v>295.55600000000004</x:v>
      </x:c>
      <x:c r="J16" s="283" t="n">
        <x:f>SUM('Source Data'!J21:J22)*'Assumptions'!$B$6</x:f>
        <x:v>300.556</x:v>
      </x:c>
    </x:row>
    <x:row r="17">
      <x:c r="A17" s="269" t="str">
        <x:v>Less: cash and equivalents</x:v>
      </x:c>
      <x:c r="B17" s="269"/>
      <x:c r="C17" s="283" t="n">
        <x:f>'Source Data'!C17</x:f>
        <x:v>597.297</x:v>
      </x:c>
      <x:c r="D17" s="283" t="n">
        <x:f>'Source Data'!D17</x:f>
        <x:v>224.927</x:v>
      </x:c>
      <x:c r="E17" s="283" t="n">
        <x:f>'Source Data'!E17</x:f>
        <x:v>270.973</x:v>
      </x:c>
      <x:c r="F17" s="283" t="n">
        <x:f>'Source Data'!F17</x:f>
        <x:v>338.985</x:v>
      </x:c>
      <x:c r="G17" s="283" t="n">
        <x:f>'Source Data'!G17</x:f>
        <x:v>330.339</x:v>
      </x:c>
      <x:c r="H17" s="283" t="n">
        <x:f>'Source Data'!H17</x:f>
        <x:v>1246.983</x:v>
      </x:c>
      <x:c r="I17" s="283" t="n">
        <x:f>'Source Data'!I17</x:f>
        <x:v>401.305</x:v>
      </x:c>
      <x:c r="J17" s="283" t="n">
        <x:f>'Source Data'!J17</x:f>
        <x:v>426.36</x:v>
      </x:c>
    </x:row>
    <x:row r="18">
      <x:c r="A18" s="269" t="str">
        <x:v>Less: marketable securities</x:v>
      </x:c>
      <x:c r="B18" s="269"/>
      <x:c r="C18" s="283" t="n">
        <x:f>'Source Data'!C18*'Assumptions'!$B$7</x:f>
        <x:v>176.674</x:v>
      </x:c>
      <x:c r="D18" s="283" t="n">
        <x:f>'Source Data'!D18*'Assumptions'!$B$7</x:f>
        <x:v>1292.532</x:v>
      </x:c>
      <x:c r="E18" s="283" t="n">
        <x:f>'Source Data'!E18*'Assumptions'!$B$7</x:f>
        <x:v>1283.473</x:v>
      </x:c>
      <x:c r="F18" s="283" t="n">
        <x:f>'Source Data'!F18*'Assumptions'!$B$7</x:f>
        <x:v>1545.341</x:v>
      </x:c>
      <x:c r="G18" s="283" t="n">
        <x:f>'Source Data'!G18*'Assumptions'!$B$7</x:f>
        <x:v>2252.559</x:v>
      </x:c>
      <x:c r="H18" s="283" t="n">
        <x:f>'Source Data'!H18*'Assumptions'!$B$7</x:f>
        <x:v>2942.076</x:v>
      </x:c>
      <x:c r="I18" s="283" t="n">
        <x:f>'Source Data'!I18*'Assumptions'!$B$7</x:f>
        <x:v>4073.531</x:v>
      </x:c>
      <x:c r="J18" s="283" t="n">
        <x:f>'Source Data'!J18*'Assumptions'!$B$7</x:f>
        <x:v>4332.257</x:v>
      </x:c>
    </x:row>
    <x:row r="19">
      <x:c r="A19" s="269" t="str">
        <x:v>Operating CE — all cash excluded</x:v>
      </x:c>
      <x:c r="B19" s="269"/>
      <x:c r="C19" s="286" t="n">
        <x:f>SUM(C14:C16)-C17-C18</x:f>
        <x:v>68.79600000000002</x:v>
      </x:c>
      <x:c r="D19" s="286" t="n">
        <x:f>SUM(D14:D16)-D17-D18</x:f>
        <x:v>83.59600000000023</x:v>
      </x:c>
      <x:c r="E19" s="286" t="n">
        <x:f>SUM(E14:E16)-E17-E18</x:f>
        <x:v>294.50199999999995</x:v>
      </x:c>
      <x:c r="F19" s="286" t="n">
        <x:f>SUM(F14:F16)-F17-F18</x:f>
        <x:v>363.6999999999998</x:v>
      </x:c>
      <x:c r="G19" s="286" t="n">
        <x:f>SUM(G14:G16)-G17-G18</x:f>
        <x:v>344.79299999999967</x:v>
      </x:c>
      <x:c r="H19" s="286" t="n">
        <x:f>SUM(H14:H16)-H17-H18</x:f>
        <x:v>367.48399999999947</x:v>
      </x:c>
      <x:c r="I19" s="286" t="n">
        <x:f>SUM(I14:I16)-I17-I18</x:f>
        <x:v>536.3749999999991</x:v>
      </x:c>
      <x:c r="J19" s="286" t="n">
        <x:f>SUM(J14:J16)-J17-J18</x:f>
        <x:v>514.6570000000002</x:v>
      </x:c>
    </x:row>
    <x:row r="20">
      <x:c r="A20" s="269" t="str">
        <x:v>Revenue basis for cash floor</x:v>
      </x:c>
      <x:c r="B20" s="269"/>
      <x:c r="C20" s="283" t="n">
        <x:f>'Source Data'!C31</x:f>
        <x:v>362.78</x:v>
      </x:c>
      <x:c r="D20" s="283" t="n">
        <x:f>'Source Data'!D31</x:f>
        <x:v>603.466</x:v>
      </x:c>
      <x:c r="E20" s="283" t="n">
        <x:f>'Source Data'!E31</x:f>
        <x:v>1028.784</x:v>
      </x:c>
      <x:c r="F20" s="283" t="n">
        <x:f>'Source Data'!F31</x:f>
        <x:v>1675.1</x:v>
      </x:c>
      <x:c r="G20" s="283" t="n">
        <x:f>'Source Data'!G31</x:f>
        <x:v>2128.359</x:v>
      </x:c>
      <x:c r="H20" s="283" t="n">
        <x:f>'Source Data'!H31</x:f>
        <x:v>2684.275</x:v>
      </x:c>
      <x:c r="I20" s="283" t="n">
        <x:f>'Source Data'!I31</x:f>
        <x:v>3427.158</x:v>
      </x:c>
      <x:c r="J20" s="283" t="n">
        <x:f>'Source Data'!I31+'Source Data'!C38-'Source Data'!B38</x:f>
        <x:v>3672.031</x:v>
      </x:c>
    </x:row>
    <x:row r="21">
      <x:c r="A21" s="269" t="str">
        <x:v>Required operating cash</x:v>
      </x:c>
      <x:c r="B21" s="269"/>
      <x:c r="C21" s="286" t="n">
        <x:f>MIN(C17,C20*'Assumptions'!$B$4)</x:f>
        <x:v>7.255599999999999</x:v>
      </x:c>
      <x:c r="D21" s="286" t="n">
        <x:f>MIN(D17,D20*'Assumptions'!$B$4)</x:f>
        <x:v>12.069320000000001</x:v>
      </x:c>
      <x:c r="E21" s="286" t="n">
        <x:f>MIN(E17,E20*'Assumptions'!$B$4)</x:f>
        <x:v>20.575680000000002</x:v>
      </x:c>
      <x:c r="F21" s="286" t="n">
        <x:f>MIN(F17,F20*'Assumptions'!$B$4)</x:f>
        <x:v>33.501999999999995</x:v>
      </x:c>
      <x:c r="G21" s="286" t="n">
        <x:f>MIN(G17,G20*'Assumptions'!$B$4)</x:f>
        <x:v>42.56718</x:v>
      </x:c>
      <x:c r="H21" s="286" t="n">
        <x:f>MIN(H17,H20*'Assumptions'!$B$4)</x:f>
        <x:v>53.685500000000005</x:v>
      </x:c>
      <x:c r="I21" s="286" t="n">
        <x:f>MIN(I17,I20*'Assumptions'!$B$4)</x:f>
        <x:v>68.54316</x:v>
      </x:c>
      <x:c r="J21" s="286" t="n">
        <x:f>MIN(J17,J20*'Assumptions'!$B$4)</x:f>
        <x:v>73.44062</x:v>
      </x:c>
    </x:row>
    <x:row r="22">
      <x:c r="A22" s="288" t="str">
        <x:v>Operating CE — cash floor (primary)</x:v>
      </x:c>
      <x:c r="B22" s="288"/>
      <x:c r="C22" s="289" t="n">
        <x:f>C19+C21</x:f>
        <x:v>76.05160000000002</x:v>
      </x:c>
      <x:c r="D22" s="289" t="n">
        <x:f>D19+D21</x:f>
        <x:v>95.66532000000024</x:v>
      </x:c>
      <x:c r="E22" s="289" t="n">
        <x:f>E19+E21</x:f>
        <x:v>315.07767999999993</x:v>
      </x:c>
      <x:c r="F22" s="289" t="n">
        <x:f>F19+F21</x:f>
        <x:v>397.2019999999998</x:v>
      </x:c>
      <x:c r="G22" s="289" t="n">
        <x:f>G19+G21</x:f>
        <x:v>387.3601799999997</x:v>
      </x:c>
      <x:c r="H22" s="289" t="n">
        <x:f>H19+H21</x:f>
        <x:v>421.16949999999946</x:v>
      </x:c>
      <x:c r="I22" s="289" t="n">
        <x:f>I19+I21</x:f>
        <x:v>604.918159999999</x:v>
      </x:c>
      <x:c r="J22" s="289" t="n">
        <x:f>J19+J21</x:f>
        <x:v>588.0976200000001</x:v>
      </x:c>
    </x:row>
    <x:row r="23">
      <x:c r="A23" s="269"/>
      <x:c r="B23" s="269"/>
      <x:c r="C23" s="286"/>
      <x:c r="D23" s="286"/>
      <x:c r="E23" s="286"/>
      <x:c r="F23" s="286"/>
      <x:c r="G23" s="286"/>
      <x:c r="H23" s="286"/>
      <x:c r="I23" s="286"/>
      <x:c r="J23" s="286"/>
    </x:row>
    <x:row r="24" ht="22" customHeight="1">
      <x:c r="A24" s="257" t="str">
        <x:v>Customer Financing, Tangible Capital and Economic Capital</x:v>
      </x:c>
      <x:c r="B24" s="257"/>
      <x:c r="C24" s="287"/>
      <x:c r="D24" s="287"/>
      <x:c r="E24" s="287"/>
      <x:c r="F24" s="287"/>
      <x:c r="G24" s="287"/>
      <x:c r="H24" s="287"/>
      <x:c r="I24" s="287"/>
      <x:c r="J24" s="287"/>
    </x:row>
    <x:row r="25">
      <x:c r="A25" s="269" t="str">
        <x:v>Deferred revenue / customer financing</x:v>
      </x:c>
      <x:c r="B25" s="269"/>
      <x:c r="C25" s="283" t="n">
        <x:f>SUM('Source Data'!C23:C24)</x:f>
        <x:v>138.488</x:v>
      </x:c>
      <x:c r="D25" s="283" t="n">
        <x:f>SUM('Source Data'!D23:D24)</x:f>
        <x:v>208.27499999999998</x:v>
      </x:c>
      <x:c r="E25" s="283" t="n">
        <x:f>SUM('Source Data'!E23:E24)</x:f>
        <x:v>385.88100000000003</x:v>
      </x:c>
      <x:c r="F25" s="283" t="n">
        <x:f>SUM('Source Data'!F23:F24)</x:f>
        <x:v>555.968</x:v>
      </x:c>
      <x:c r="G25" s="283" t="n">
        <x:f>SUM('Source Data'!G23:G24)</x:f>
        <x:v>786.945</x:v>
      </x:c>
      <x:c r="H25" s="283" t="n">
        <x:f>SUM('Source Data'!H23:H24)</x:f>
        <x:v>984.5459999999999</x:v>
      </x:c>
      <x:c r="I25" s="283" t="n">
        <x:f>SUM('Source Data'!I23:I24)</x:f>
        <x:v>1262.357</x:v>
      </x:c>
      <x:c r="J25" s="283" t="n">
        <x:f>SUM('Source Data'!J23:J24)</x:f>
        <x:v>1282.07</x:v>
      </x:c>
    </x:row>
    <x:row r="26">
      <x:c r="A26" s="290" t="str">
        <x:v>CE before customer financing</x:v>
      </x:c>
      <x:c r="B26" s="290"/>
      <x:c r="C26" s="291" t="n">
        <x:f>C22+C25</x:f>
        <x:v>214.5396</x:v>
      </x:c>
      <x:c r="D26" s="291" t="n">
        <x:f>D22+D25</x:f>
        <x:v>303.9403200000002</x:v>
      </x:c>
      <x:c r="E26" s="291" t="n">
        <x:f>E22+E25</x:f>
        <x:v>700.95868</x:v>
      </x:c>
      <x:c r="F26" s="291" t="n">
        <x:f>F22+F25</x:f>
        <x:v>953.1699999999998</x:v>
      </x:c>
      <x:c r="G26" s="291" t="n">
        <x:f>G22+G25</x:f>
        <x:v>1174.3051799999998</x:v>
      </x:c>
      <x:c r="H26" s="291" t="n">
        <x:f>H22+H25</x:f>
        <x:v>1405.7154999999993</x:v>
      </x:c>
      <x:c r="I26" s="291" t="n">
        <x:f>I22+I25</x:f>
        <x:v>1867.275159999999</x:v>
      </x:c>
      <x:c r="J26" s="291" t="n">
        <x:f>J22+J25</x:f>
        <x:v>1870.1676200000002</x:v>
      </x:c>
    </x:row>
    <x:row r="27">
      <x:c r="A27" s="269" t="str">
        <x:v>Goodwill</x:v>
      </x:c>
      <x:c r="B27" s="269"/>
      <x:c r="C27" s="283" t="n">
        <x:f>'Source Data'!C25</x:f>
        <x:v>9.058</x:v>
      </x:c>
      <x:c r="D27" s="283" t="n">
        <x:f>'Source Data'!D25</x:f>
        <x:v>17.609</x:v>
      </x:c>
      <x:c r="E27" s="283" t="n">
        <x:f>'Source Data'!E25</x:f>
        <x:v>292.176</x:v>
      </x:c>
      <x:c r="F27" s="283" t="n">
        <x:f>'Source Data'!F25</x:f>
        <x:v>348.277</x:v>
      </x:c>
      <x:c r="G27" s="283" t="n">
        <x:f>'Source Data'!G25</x:f>
        <x:v>352.694</x:v>
      </x:c>
      <x:c r="H27" s="283" t="n">
        <x:f>'Source Data'!H25</x:f>
        <x:v>360.381</x:v>
      </x:c>
      <x:c r="I27" s="283" t="n">
        <x:f>'Source Data'!I25</x:f>
        <x:v>530.568</x:v>
      </x:c>
      <x:c r="J27" s="283" t="n">
        <x:f>'Source Data'!J25</x:f>
        <x:v>540.543</x:v>
      </x:c>
    </x:row>
    <x:row r="28">
      <x:c r="A28" s="269" t="str">
        <x:v>Acquired intangible assets</x:v>
      </x:c>
      <x:c r="B28" s="269"/>
      <x:c r="C28" s="283" t="n">
        <x:f>'Source Data'!C26</x:f>
        <x:v>1.435</x:v>
      </x:c>
      <x:c r="D28" s="283" t="n">
        <x:f>'Source Data'!D26</x:f>
        <x:v>2.069</x:v>
      </x:c>
      <x:c r="E28" s="283" t="n">
        <x:f>'Source Data'!E26</x:f>
        <x:v>15.704</x:v>
      </x:c>
      <x:c r="F28" s="283" t="n">
        <x:f>'Source Data'!F26</x:f>
        <x:v>16.365</x:v>
      </x:c>
      <x:c r="G28" s="283" t="n">
        <x:f>'Source Data'!G26</x:f>
        <x:v>9.617</x:v>
      </x:c>
      <x:c r="H28" s="283" t="n">
        <x:f>'Source Data'!H26</x:f>
        <x:v>3.711</x:v>
      </x:c>
      <x:c r="I28" s="283" t="n">
        <x:f>'Source Data'!I26</x:f>
        <x:v>14.968</x:v>
      </x:c>
      <x:c r="J28" s="283" t="n">
        <x:f>'Source Data'!J26</x:f>
        <x:v>14.929</x:v>
      </x:c>
    </x:row>
    <x:row r="29">
      <x:c r="A29" s="269" t="str">
        <x:v>Tangible operating CE</x:v>
      </x:c>
      <x:c r="B29" s="269"/>
      <x:c r="C29" s="283" t="n">
        <x:f>C22-C27-C28</x:f>
        <x:v>65.55860000000001</x:v>
      </x:c>
      <x:c r="D29" s="283" t="n">
        <x:f>D22-D27-D28</x:f>
        <x:v>75.98732000000022</x:v>
      </x:c>
      <x:c r="E29" s="283" t="n">
        <x:f>E22-E27-E28</x:f>
        <x:v>7.1976799999999415</x:v>
      </x:c>
      <x:c r="F29" s="283" t="n">
        <x:f>F22-F27-F28</x:f>
        <x:v>32.559999999999846</x:v>
      </x:c>
      <x:c r="G29" s="283" t="n">
        <x:f>G22-G27-G28</x:f>
        <x:v>25.049179999999655</x:v>
      </x:c>
      <x:c r="H29" s="283" t="n">
        <x:f>H22-H27-H28</x:f>
        <x:v>57.07749999999949</x:v>
      </x:c>
      <x:c r="I29" s="283" t="n">
        <x:f>I22-I27-I28</x:f>
        <x:v>59.38215999999905</x:v>
      </x:c>
      <x:c r="J29" s="283" t="n">
        <x:f>J22-J27-J28</x:f>
        <x:v>32.62562000000011</x:v>
      </x:c>
    </x:row>
    <x:row r="30">
      <x:c r="A30" s="269" t="str">
        <x:v>Research asset</x:v>
      </x:c>
      <x:c r="B30" s="269"/>
      <x:c r="C30" s="283" t="n">
        <x:f>'R&amp;D Adjustment'!C23</x:f>
        <x:v>165.174</x:v>
      </x:c>
      <x:c r="D30" s="283" t="n">
        <x:f>'R&amp;D Adjustment'!D23</x:f>
        <x:v>327.96625</x:v>
      </x:c>
      <x:c r="E30" s="283" t="n">
        <x:f>'R&amp;D Adjustment'!E23</x:f>
        <x:v>647.245</x:v>
      </x:c>
      <x:c r="F30" s="283" t="n">
        <x:f>'R&amp;D Adjustment'!F23</x:f>
        <x:v>1200.347</x:v>
      </x:c>
      <x:c r="G30" s="283" t="n">
        <x:f>'R&amp;D Adjustment'!G23</x:f>
        <x:v>1789.2512499999998</x:v>
      </x:c>
      <x:c r="H30" s="283" t="n">
        <x:f>'R&amp;D Adjustment'!H23</x:f>
        <x:v>2355.656</x:v>
      </x:c>
      <x:c r="I30" s="283" t="n">
        <x:f>'R&amp;D Adjustment'!I23</x:f>
        <x:v>3082.2895</x:v>
      </x:c>
      <x:c r="J30" s="283" t="n">
        <x:f>'R&amp;D Adjustment'!J23</x:f>
        <x:v>3241.5905000000002</x:v>
      </x:c>
    </x:row>
    <x:row r="31">
      <x:c r="A31" s="288" t="str">
        <x:v>R&amp;D-adjusted CE</x:v>
      </x:c>
      <x:c r="B31" s="288"/>
      <x:c r="C31" s="289" t="str">
        <x:f>IF(YEAR(C$6)&lt;2021,"",C22+C30)</x:f>
      </x:c>
      <x:c r="D31" s="289" t="str">
        <x:f>IF(YEAR(D$6)&lt;2021,"",D22+D30)</x:f>
      </x:c>
      <x:c r="E31" s="289" t="n">
        <x:f>IF(YEAR(E$6)&lt;2021,"",E22+E30)</x:f>
        <x:v>962.32268</x:v>
      </x:c>
      <x:c r="F31" s="289" t="n">
        <x:f>IF(YEAR(F$6)&lt;2021,"",F22+F30)</x:f>
        <x:v>1597.5489999999998</x:v>
      </x:c>
      <x:c r="G31" s="289" t="n">
        <x:f>IF(YEAR(G$6)&lt;2021,"",G22+G30)</x:f>
        <x:v>2176.6114299999995</x:v>
      </x:c>
      <x:c r="H31" s="289" t="n">
        <x:f>IF(YEAR(H$6)&lt;2021,"",H22+H30)</x:f>
        <x:v>2776.8254999999995</x:v>
      </x:c>
      <x:c r="I31" s="289" t="n">
        <x:f>IF(YEAR(I$6)&lt;2021,"",I22+I30)</x:f>
        <x:v>3687.207659999999</x:v>
      </x:c>
      <x:c r="J31" s="289" t="n">
        <x:f>IF(YEAR(J$6)&lt;2021,"",J22+J30)</x:f>
        <x:v>3829.6881200000003</x:v>
      </x:c>
    </x:row>
    <x:row r="32">
      <x:c r="A32" s="269"/>
      <x:c r="B32" s="269"/>
      <x:c r="C32" s="269"/>
      <x:c r="D32" s="269"/>
      <x:c r="E32" s="269"/>
      <x:c r="F32" s="269"/>
      <x:c r="G32" s="269"/>
      <x:c r="H32" s="269"/>
      <x:c r="I32" s="269"/>
      <x:c r="J32" s="269"/>
    </x:row>
    <x:row r="33">
      <x:c r="A33" s="269" t="str">
        <x:v>Interpretation</x:v>
      </x:c>
      <x:c r="B33" s="269"/>
      <x:c r="C33" s="292" t="str">
        <x:f>IF(C29&lt;0,"Negative","Positive")</x:f>
        <x:v>Positive</x:v>
      </x:c>
      <x:c r="D33" s="292" t="str">
        <x:f>IF(D29&lt;0,"Negative","Positive")</x:f>
        <x:v>Positive</x:v>
      </x:c>
      <x:c r="E33" s="292" t="str">
        <x:f>IF(E29&lt;0,"Negative","Positive")</x:f>
        <x:v>Positive</x:v>
      </x:c>
      <x:c r="F33" s="292" t="str">
        <x:f>IF(F29&lt;0,"Negative","Positive")</x:f>
        <x:v>Positive</x:v>
      </x:c>
      <x:c r="G33" s="292" t="str">
        <x:f>IF(G29&lt;0,"Negative","Positive")</x:f>
        <x:v>Positive</x:v>
      </x:c>
      <x:c r="H33" s="292" t="str">
        <x:f>IF(H29&lt;0,"Negative","Positive")</x:f>
        <x:v>Positive</x:v>
      </x:c>
      <x:c r="I33" s="292" t="str">
        <x:f>IF(I29&lt;0,"Negative","Positive")</x:f>
        <x:v>Positive</x:v>
      </x:c>
      <x:c r="J33" s="292" t="str">
        <x:f>IF(J29&lt;0,"Negative","Positive")</x:f>
        <x:v>Positive</x:v>
      </x:c>
    </x:row>
    <x:row r="34">
      <x:c r="A34" s="269"/>
      <x:c r="B34" s="269"/>
      <x:c r="C34" s="269"/>
      <x:c r="D34" s="269"/>
      <x:c r="E34" s="269"/>
      <x:c r="F34" s="269"/>
      <x:c r="G34" s="269"/>
      <x:c r="H34" s="269"/>
      <x:c r="I34" s="269"/>
      <x:c r="J34" s="269"/>
    </x:row>
    <x:row r="35" ht="22" customHeight="1">
      <x:c r="A35" s="257" t="str">
        <x:v>ROCE Diagnostics — Annual Periods Only</x:v>
      </x:c>
      <x:c r="B35" s="257"/>
      <x:c r="C35" s="257"/>
      <x:c r="D35" s="257"/>
      <x:c r="E35" s="257"/>
      <x:c r="F35" s="257"/>
      <x:c r="G35" s="257"/>
      <x:c r="H35" s="257"/>
      <x:c r="I35" s="257"/>
      <x:c r="J35" s="257"/>
    </x:row>
    <x:row r="36">
      <x:c r="A36" s="269" t="str">
        <x:v>Operating income (EBIT)</x:v>
      </x:c>
      <x:c r="B36" s="269"/>
      <x:c r="C36" s="283" t="n">
        <x:f>'Source Data'!C32</x:f>
        <x:v>-20.14</x:v>
      </x:c>
      <x:c r="D36" s="283" t="n">
        <x:f>'Source Data'!D32</x:f>
        <x:v>-13.773</x:v>
      </x:c>
      <x:c r="E36" s="283" t="n">
        <x:f>'Source Data'!E32</x:f>
        <x:v>-19.156</x:v>
      </x:c>
      <x:c r="F36" s="283" t="n">
        <x:f>'Source Data'!F32</x:f>
        <x:v>-58.695</x:v>
      </x:c>
      <x:c r="G36" s="283" t="n">
        <x:f>'Source Data'!G32</x:f>
        <x:v>-33.464</x:v>
      </x:c>
      <x:c r="H36" s="283" t="n">
        <x:f>'Source Data'!H32</x:f>
        <x:v>54.284</x:v>
      </x:c>
      <x:c r="I36" s="283" t="n">
        <x:f>'Source Data'!I32</x:f>
        <x:v>-44.373</x:v>
      </x:c>
      <x:c r="J36" s="283" t="str">
        <x:f>""</x:f>
      </x:c>
    </x:row>
    <x:row r="37">
      <x:c r="A37" s="269" t="str">
        <x:v>Average reported CE</x:v>
      </x:c>
      <x:c r="B37" s="269"/>
      <x:c r="C37" s="286" t="str">
        <x:f>""</x:f>
      </x:c>
      <x:c r="D37" s="286" t="n">
        <x:f>AVERAGE(C11,D11)</x:f>
        <x:v>1215.1215</x:v>
      </x:c>
      <x:c r="E37" s="286" t="n">
        <x:f>AVERAGE(D11,E11)</x:f>
        <x:v>1722.2694999999999</x:v>
      </x:c>
      <x:c r="F37" s="286" t="n">
        <x:f>AVERAGE(E11,F11)</x:f>
        <x:v>2048.6009999999997</x:v>
      </x:c>
      <x:c r="G37" s="286" t="n">
        <x:f>AVERAGE(F11,G11)</x:f>
        <x:v>2589.062</x:v>
      </x:c>
      <x:c r="H37" s="286" t="n">
        <x:f>AVERAGE(G11,H11)</x:f>
        <x:v>3427.8230000000003</x:v>
      </x:c>
      <x:c r="I37" s="286" t="n">
        <x:f>AVERAGE(H11,I11)</x:f>
        <x:v>4487.5345</x:v>
      </x:c>
      <x:c r="J37" s="286" t="str">
        <x:f>""</x:f>
      </x:c>
    </x:row>
    <x:row r="38">
      <x:c r="A38" s="269" t="str">
        <x:v>Reported ROCE</x:v>
      </x:c>
      <x:c r="B38" s="269"/>
      <x:c r="C38" s="293" t="str">
        <x:f>""</x:f>
      </x:c>
      <x:c r="D38" s="293" t="n">
        <x:f>IF(D37&gt;0,D36/D37,"")</x:f>
        <x:v>-0.011334669002235578</x:v>
      </x:c>
      <x:c r="E38" s="293" t="n">
        <x:f>IF(E37&gt;0,E36/E37,"")</x:f>
        <x:v>-0.011122533378196619</x:v>
      </x:c>
      <x:c r="F38" s="293" t="n">
        <x:f>IF(F37&gt;0,F36/F37,"")</x:f>
        <x:v>-0.028651260055032685</x:v>
      </x:c>
      <x:c r="G38" s="293" t="n">
        <x:f>IF(G37&gt;0,G36/G37,"")</x:f>
        <x:v>-0.01292514431867603</x:v>
      </x:c>
      <x:c r="H38" s="293" t="n">
        <x:f>IF(H37&gt;0,H36/H37,"")</x:f>
        <x:v>0.015836290263528775</x:v>
      </x:c>
      <x:c r="I38" s="293" t="n">
        <x:f>IF(I37&gt;0,I36/I37,"")</x:f>
        <x:v>-0.009888057685127545</x:v>
      </x:c>
      <x:c r="J38" s="293" t="str">
        <x:f>""</x:f>
      </x:c>
    </x:row>
    <x:row r="39">
      <x:c r="A39" s="269" t="str">
        <x:v>Average operating CE</x:v>
      </x:c>
      <x:c r="B39" s="269"/>
      <x:c r="C39" s="286" t="str">
        <x:f>""</x:f>
      </x:c>
      <x:c r="D39" s="286" t="n">
        <x:f>AVERAGE(C22,D22)</x:f>
        <x:v>85.85846000000012</x:v>
      </x:c>
      <x:c r="E39" s="286" t="n">
        <x:f>AVERAGE(D22,E22)</x:f>
        <x:v>205.37150000000008</x:v>
      </x:c>
      <x:c r="F39" s="286" t="n">
        <x:f>AVERAGE(E22,F22)</x:f>
        <x:v>356.1398399999999</x:v>
      </x:c>
      <x:c r="G39" s="286" t="n">
        <x:f>AVERAGE(F22,G22)</x:f>
        <x:v>392.2810899999997</x:v>
      </x:c>
      <x:c r="H39" s="286" t="n">
        <x:f>AVERAGE(G22,H22)</x:f>
        <x:v>404.2648399999996</x:v>
      </x:c>
      <x:c r="I39" s="286" t="n">
        <x:f>AVERAGE(H22,I22)</x:f>
        <x:v>513.0438299999993</x:v>
      </x:c>
      <x:c r="J39" s="286" t="str">
        <x:f>""</x:f>
      </x:c>
    </x:row>
    <x:row r="40">
      <x:c r="A40" s="269" t="str">
        <x:v>Operating ROCE</x:v>
      </x:c>
      <x:c r="B40" s="269"/>
      <x:c r="C40" s="293" t="str">
        <x:f>""</x:f>
      </x:c>
      <x:c r="D40" s="293" t="n">
        <x:f>IF(D39&gt;0,D36/D39,"")</x:f>
        <x:v>-0.16041517632624647</x:v>
      </x:c>
      <x:c r="E40" s="293" t="n">
        <x:f>IF(E39&gt;0,E36/E39,"")</x:f>
        <x:v>-0.09327487017429385</x:v>
      </x:c>
      <x:c r="F40" s="293" t="n">
        <x:f>IF(F39&gt;0,F36/F39,"")</x:f>
        <x:v>-0.16480885710511922</x:v>
      </x:c>
      <x:c r="G40" s="293" t="n">
        <x:f>IF(G39&gt;0,G36/G39,"")</x:f>
        <x:v>-0.08530617675198165</x:v>
      </x:c>
      <x:c r="H40" s="293" t="n">
        <x:f>IF(H39&gt;0,H36/H39,"")</x:f>
        <x:v>0.13427831121796308</x:v>
      </x:c>
      <x:c r="I40" s="293" t="n">
        <x:f>IF(I39&gt;0,I36/I39,"")</x:f>
        <x:v>-0.08648968646596931</x:v>
      </x:c>
      <x:c r="J40" s="293" t="str">
        <x:f>""</x:f>
      </x:c>
    </x:row>
    <x:row r="41">
      <x:c r="A41" s="269" t="str">
        <x:v>R&amp;D-adjusted operating income</x:v>
      </x:c>
      <x:c r="B41" s="269"/>
      <x:c r="C41" s="283" t="n">
        <x:f>'R&amp;D Adjustment'!C25</x:f>
        <x:v>0</x:v>
      </x:c>
      <x:c r="D41" s="283" t="n">
        <x:f>'R&amp;D Adjustment'!D25</x:f>
        <x:v>149.01925</x:v>
      </x:c>
      <x:c r="E41" s="283" t="n">
        <x:f>'R&amp;D Adjustment'!E25</x:f>
        <x:v>300.12275000000005</x:v>
      </x:c>
      <x:c r="F41" s="283" t="n">
        <x:f>'R&amp;D Adjustment'!F25</x:f>
        <x:v>494.4069999999999</x:v>
      </x:c>
      <x:c r="G41" s="283" t="n">
        <x:f>'R&amp;D Adjustment'!G25</x:f>
        <x:v>555.4402499999999</x:v>
      </x:c>
      <x:c r="H41" s="283" t="n">
        <x:f>'R&amp;D Adjustment'!H25</x:f>
        <x:v>620.6887500000003</x:v>
      </x:c>
      <x:c r="I41" s="283" t="n">
        <x:f>'R&amp;D Adjustment'!I25</x:f>
        <x:v>682.2604999999999</x:v>
      </x:c>
      <x:c r="J41" s="283" t="str">
        <x:f>""</x:f>
      </x:c>
    </x:row>
    <x:row r="42">
      <x:c r="A42" s="269" t="str">
        <x:v>Average R&amp;D-adjusted CE</x:v>
      </x:c>
      <x:c r="B42" s="269"/>
      <x:c r="C42" s="286" t="str">
        <x:f>""</x:f>
      </x:c>
      <x:c r="D42" s="286" t="str">
        <x:f>IF(OR(C31="",D31=""),"",AVERAGE(C31,D31))</x:f>
      </x:c>
      <x:c r="E42" s="286" t="str">
        <x:f>IF(OR(D31="",E31=""),"",AVERAGE(D31,E31))</x:f>
      </x:c>
      <x:c r="F42" s="286" t="n">
        <x:f>IF(OR(E31="",F31=""),"",AVERAGE(E31,F31))</x:f>
        <x:v>1279.9358399999999</x:v>
      </x:c>
      <x:c r="G42" s="286" t="n">
        <x:f>IF(OR(F31="",G31=""),"",AVERAGE(F31,G31))</x:f>
        <x:v>1887.0802149999995</x:v>
      </x:c>
      <x:c r="H42" s="286" t="n">
        <x:f>IF(OR(G31="",H31=""),"",AVERAGE(G31,H31))</x:f>
        <x:v>2476.7184649999995</x:v>
      </x:c>
      <x:c r="I42" s="286" t="n">
        <x:f>IF(OR(H31="",I31=""),"",AVERAGE(H31,I31))</x:f>
        <x:v>3232.0165799999995</x:v>
      </x:c>
      <x:c r="J42" s="286" t="str">
        <x:f>""</x:f>
      </x:c>
    </x:row>
    <x:row r="43">
      <x:c r="A43" s="269" t="str">
        <x:v>R&amp;D-adjusted ROCE</x:v>
      </x:c>
      <x:c r="B43" s="269"/>
      <x:c r="C43" s="293" t="str">
        <x:f>""</x:f>
      </x:c>
      <x:c r="D43" s="293" t="str">
        <x:f>IF(AND(YEAR(D$6)&gt;=2022,D42&gt;0),D41/D42,"")</x:f>
      </x:c>
      <x:c r="E43" s="293" t="str">
        <x:f>IF(AND(YEAR(E$6)&gt;=2022,E42&gt;0),E41/E42,"")</x:f>
      </x:c>
      <x:c r="F43" s="293" t="n">
        <x:f>IF(AND(YEAR(F$6)&gt;=2022,F42&gt;0),F41/F42,"")</x:f>
        <x:v>0.38627483077589264</x:v>
      </x:c>
      <x:c r="G43" s="293" t="n">
        <x:f>IF(AND(YEAR(G$6)&gt;=2022,G42&gt;0),G41/G42,"")</x:f>
        <x:v>0.29433844178160706</x:v>
      </x:c>
      <x:c r="H43" s="293" t="n">
        <x:f>IF(AND(YEAR(H$6)&gt;=2022,H42&gt;0),H41/H42,"")</x:f>
        <x:v>0.2506093279358663</x:v>
      </x:c>
      <x:c r="I43" s="293" t="n">
        <x:f>IF(AND(YEAR(I$6)&gt;=2022,I42&gt;0),I41/I42,"")</x:f>
        <x:v>0.2110943688290114</x:v>
      </x:c>
      <x:c r="J43" s="293" t="str">
        <x:f>""</x:f>
      </x:c>
    </x:row>
    <x:row r="44">
      <x:c r="A44" s="269"/>
      <x:c r="B44" s="269"/>
      <x:c r="C44" s="269"/>
      <x:c r="D44" s="269"/>
      <x:c r="E44" s="269"/>
      <x:c r="F44" s="269"/>
      <x:c r="G44" s="269"/>
      <x:c r="H44" s="269"/>
      <x:c r="I44" s="269"/>
      <x:c r="J44" s="269"/>
    </x:row>
    <x:row r="45" ht="22" customHeight="1">
      <x:c r="A45" s="257" t="str">
        <x:v>ROIC — R&amp;D-Adjusted NOPAT / Average Invested Capital</x:v>
      </x:c>
      <x:c r="B45" s="257"/>
      <x:c r="C45" s="257"/>
      <x:c r="D45" s="257"/>
      <x:c r="E45" s="257"/>
      <x:c r="F45" s="257"/>
      <x:c r="G45" s="257"/>
      <x:c r="H45" s="257"/>
      <x:c r="I45" s="257"/>
      <x:c r="J45" s="257"/>
    </x:row>
    <x:row r="46">
      <x:c r="A46" s="269" t="str">
        <x:v>R&amp;D-adjusted operating income</x:v>
      </x:c>
      <x:c r="B46" s="269"/>
      <x:c r="C46" s="283" t="n">
        <x:f>C41</x:f>
        <x:v>0</x:v>
      </x:c>
      <x:c r="D46" s="283" t="n">
        <x:f>D41</x:f>
        <x:v>149.01925</x:v>
      </x:c>
      <x:c r="E46" s="283" t="n">
        <x:f>E41</x:f>
        <x:v>300.12275000000005</x:v>
      </x:c>
      <x:c r="F46" s="283" t="n">
        <x:f>F41</x:f>
        <x:v>494.4069999999999</x:v>
      </x:c>
      <x:c r="G46" s="283" t="n">
        <x:f>G41</x:f>
        <x:v>555.4402499999999</x:v>
      </x:c>
      <x:c r="H46" s="283" t="n">
        <x:f>H41</x:f>
        <x:v>620.6887500000003</x:v>
      </x:c>
      <x:c r="I46" s="283" t="n">
        <x:f>I41</x:f>
        <x:v>682.2604999999999</x:v>
      </x:c>
      <x:c r="J46" s="283" t="str">
        <x:f>""</x:f>
      </x:c>
    </x:row>
    <x:row r="47">
      <x:c r="A47" s="269" t="str">
        <x:v>Normalized tax rate</x:v>
      </x:c>
      <x:c r="B47" s="269"/>
      <x:c r="C47" s="294" t="n">
        <x:f>'Assumptions'!$B$8</x:f>
        <x:v>0.21</x:v>
      </x:c>
      <x:c r="D47" s="294" t="n">
        <x:f>'Assumptions'!$B$8</x:f>
        <x:v>0.21</x:v>
      </x:c>
      <x:c r="E47" s="294" t="n">
        <x:f>'Assumptions'!$B$8</x:f>
        <x:v>0.21</x:v>
      </x:c>
      <x:c r="F47" s="294" t="n">
        <x:f>'Assumptions'!$B$8</x:f>
        <x:v>0.21</x:v>
      </x:c>
      <x:c r="G47" s="294" t="n">
        <x:f>'Assumptions'!$B$8</x:f>
        <x:v>0.21</x:v>
      </x:c>
      <x:c r="H47" s="294" t="n">
        <x:f>'Assumptions'!$B$8</x:f>
        <x:v>0.21</x:v>
      </x:c>
      <x:c r="I47" s="294" t="n">
        <x:f>'Assumptions'!$B$8</x:f>
        <x:v>0.21</x:v>
      </x:c>
      <x:c r="J47" s="294" t="str">
        <x:f>""</x:f>
      </x:c>
    </x:row>
    <x:row r="48">
      <x:c r="A48" s="290" t="str">
        <x:v>Normalized NOPAT</x:v>
      </x:c>
      <x:c r="B48" s="290"/>
      <x:c r="C48" s="291" t="n">
        <x:f>C46*(1-C47)</x:f>
        <x:v>0</x:v>
      </x:c>
      <x:c r="D48" s="291" t="n">
        <x:f>D46*(1-D47)</x:f>
        <x:v>117.72520750000001</x:v>
      </x:c>
      <x:c r="E48" s="291" t="n">
        <x:f>E46*(1-E47)</x:f>
        <x:v>237.09697250000005</x:v>
      </x:c>
      <x:c r="F48" s="291" t="n">
        <x:f>F46*(1-F47)</x:f>
        <x:v>390.58153</x:v>
      </x:c>
      <x:c r="G48" s="291" t="n">
        <x:f>G46*(1-G47)</x:f>
        <x:v>438.79779749999994</x:v>
      </x:c>
      <x:c r="H48" s="291" t="n">
        <x:f>H46*(1-H47)</x:f>
        <x:v>490.3441125000002</x:v>
      </x:c>
      <x:c r="I48" s="291" t="n">
        <x:f>I46*(1-I47)</x:f>
        <x:v>538.9857949999999</x:v>
      </x:c>
      <x:c r="J48" s="291" t="str">
        <x:f>""</x:f>
      </x:c>
    </x:row>
    <x:row r="49">
      <x:c r="A49" s="269" t="str">
        <x:v>Average R&amp;D-adjusted invested capital</x:v>
      </x:c>
      <x:c r="B49" s="269"/>
      <x:c r="C49" s="286" t="str">
        <x:f>C42</x:f>
      </x:c>
      <x:c r="D49" s="286" t="str">
        <x:f>D42</x:f>
      </x:c>
      <x:c r="E49" s="286" t="str">
        <x:f>E42</x:f>
      </x:c>
      <x:c r="F49" s="286" t="n">
        <x:f>F42</x:f>
        <x:v>1279.9358399999999</x:v>
      </x:c>
      <x:c r="G49" s="286" t="n">
        <x:f>G42</x:f>
        <x:v>1887.0802149999995</x:v>
      </x:c>
      <x:c r="H49" s="286" t="n">
        <x:f>H42</x:f>
        <x:v>2476.7184649999995</x:v>
      </x:c>
      <x:c r="I49" s="286" t="n">
        <x:f>I42</x:f>
        <x:v>3232.0165799999995</x:v>
      </x:c>
      <x:c r="J49" s="286" t="str">
        <x:f>""</x:f>
      </x:c>
    </x:row>
    <x:row r="50">
      <x:c r="A50" s="288" t="str">
        <x:v>R&amp;D-adjusted ROIC</x:v>
      </x:c>
      <x:c r="B50" s="288"/>
      <x:c r="C50" s="295" t="str">
        <x:f>IF(AND(YEAR(C$6)&gt;=2022,C49&gt;0),C48/C49,"")</x:f>
      </x:c>
      <x:c r="D50" s="295" t="str">
        <x:f>IF(AND(YEAR(D$6)&gt;=2022,D49&gt;0),D48/D49,"")</x:f>
      </x:c>
      <x:c r="E50" s="295" t="str">
        <x:f>IF(AND(YEAR(E$6)&gt;=2022,E49&gt;0),E48/E49,"")</x:f>
      </x:c>
      <x:c r="F50" s="295" t="n">
        <x:f>IF(AND(YEAR(F$6)&gt;=2022,F49&gt;0),F48/F49,"")</x:f>
        <x:v>0.3051571163129552</x:v>
      </x:c>
      <x:c r="G50" s="295" t="n">
        <x:f>IF(AND(YEAR(G$6)&gt;=2022,G49&gt;0),G48/G49,"")</x:f>
        <x:v>0.2325273690074696</x:v>
      </x:c>
      <x:c r="H50" s="295" t="n">
        <x:f>IF(AND(YEAR(H$6)&gt;=2022,H49&gt;0),H48/H49,"")</x:f>
        <x:v>0.1979813690693344</x:v>
      </x:c>
      <x:c r="I50" s="295" t="n">
        <x:f>IF(AND(YEAR(I$6)&gt;=2022,I49&gt;0),I48/I49,"")</x:f>
        <x:v>0.166764551374919</x:v>
      </x:c>
      <x:c r="J50" s="295" t="str">
        <x:f>""</x:f>
      </x:c>
    </x:row>
    <x:row r="51">
      <x:c r="A51" s="269"/>
      <x:c r="B51" s="269"/>
      <x:c r="C51" s="269"/>
      <x:c r="D51" s="269"/>
      <x:c r="E51" s="269"/>
      <x:c r="F51" s="269"/>
      <x:c r="G51" s="269"/>
      <x:c r="H51" s="269"/>
      <x:c r="I51" s="269"/>
      <x:c r="J51" s="269"/>
    </x:row>
    <x:row r="52">
      <x:c r="A52" s="296" t="str">
        <x:v>ROIC uses normalized NOPAT and average R&amp;D-adjusted invested capital. The 21% tax rate is editable on Assumptions. Q1 2026 is intentionally not annualized. Compare ROIC with a separately estimated WACC; pre-tax ROCE is not directly comparable with WACC.</x:v>
      </x:c>
      <x:c r="B52" s="296"/>
      <x:c r="C52" s="296"/>
      <x:c r="D52" s="296"/>
      <x:c r="E52" s="296"/>
      <x:c r="F52" s="296"/>
      <x:c r="G52" s="296"/>
      <x:c r="H52" s="296"/>
      <x:c r="I52" s="296"/>
      <x:c r="J52" s="296"/>
    </x:row>
    <x:row r="53">
      <x:c r="A53" s="296"/>
      <x:c r="B53" s="296"/>
      <x:c r="C53" s="296"/>
      <x:c r="D53" s="296"/>
      <x:c r="E53" s="296"/>
      <x:c r="F53" s="296"/>
      <x:c r="G53" s="296"/>
      <x:c r="H53" s="296"/>
      <x:c r="I53" s="296"/>
      <x:c r="J53" s="296"/>
    </x:row>
    <x:row r="54">
      <x:c r="A54" s="296"/>
      <x:c r="B54" s="296"/>
      <x:c r="C54" s="296"/>
      <x:c r="D54" s="296"/>
      <x:c r="E54" s="296"/>
      <x:c r="F54" s="296"/>
      <x:c r="G54" s="296"/>
      <x:c r="H54" s="296"/>
      <x:c r="I54" s="296"/>
      <x:c r="J54" s="296"/>
    </x:row>
  </x:sheetData>
  <x:mergeCells>
    <x:mergeCell ref="A1:J1"/>
    <x:mergeCell ref="A2:J2"/>
    <x:mergeCell ref="A8:J8"/>
    <x:mergeCell ref="A13:J13"/>
    <x:mergeCell ref="A24:J24"/>
    <x:mergeCell ref="A35:J35"/>
    <x:mergeCell ref="A45:J45"/>
    <x:mergeCell ref="A52:J52"/>
    <x:mergeCell ref="A53:J53"/>
    <x:mergeCell ref="A54:J54"/>
  </x:mergeCells>
  <x:conditionalFormatting sqref="C29:J29">
    <x:cfRule type="cellIs" dxfId="0" priority="1" operator="lessThan">
      <x:formula>0</x:formula>
    </x:cfRule>
  </x:conditionalFormatting>
  <x:conditionalFormatting sqref="C43:J43">
    <x:cfRule type="colorScale" priority="2">
      <x:colorScale>
        <x:cfvo type="min"/>
        <x:cfvo type="percentile" val="50"/>
        <x:cfvo type="max"/>
        <x:color rgb="FFFDECEC"/>
        <x:color rgb="FFFFF4CC"/>
        <x:color rgb="FFE8F5E9"/>
      </x:colorScale>
    </x:cfRule>
  </x:conditionalFormatting>
  <x:conditionalFormatting sqref="C50:J50">
    <x:cfRule type="colorScale" priority="3">
      <x:colorScale>
        <x:cfvo type="min"/>
        <x:cfvo type="percentile" val="50"/>
        <x:cfvo type="max"/>
        <x:color rgb="FFFDECEC"/>
        <x:color rgb="FFFFF4CC"/>
        <x:color rgb="FFE8F5E9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</x:cols>
  <x:sheetData>
    <x:row r="1" ht="34" customHeight="1">
      <x:c r="A1" s="227" t="str">
        <x:v>Datadog — R&amp;D Capitalization Schedule</x:v>
      </x:c>
      <x:c r="B1" s="227"/>
      <x:c r="C1" s="227"/>
      <x:c r="D1" s="227"/>
      <x:c r="E1" s="227"/>
      <x:c r="F1" s="227"/>
      <x:c r="G1" s="227"/>
      <x:c r="H1" s="227"/>
      <x:c r="I1" s="227"/>
      <x:c r="J1" s="227"/>
    </x:row>
    <x:row r="2">
      <x:c r="A2" s="274" t="str">
        <x:v>Straight-line capitalization with an editable useful life. FY2021 onward has sufficient disclosed history for the 4-year base case; Q1 2026 uses a quarter roll-forward.</x:v>
      </x:c>
      <x:c r="B2" s="274"/>
      <x:c r="C2" s="274"/>
      <x:c r="D2" s="274"/>
      <x:c r="E2" s="274"/>
      <x:c r="F2" s="274"/>
      <x:c r="G2" s="274"/>
      <x:c r="H2" s="274"/>
      <x:c r="I2" s="274"/>
      <x:c r="J2" s="274"/>
    </x:row>
    <x:row r="3">
      <x:c r="A3" s="269"/>
      <x:c r="B3" s="269"/>
      <x:c r="C3" s="269"/>
      <x:c r="D3" s="269"/>
      <x:c r="E3" s="269"/>
      <x:c r="F3" s="269"/>
      <x:c r="G3" s="269"/>
      <x:c r="H3" s="269"/>
      <x:c r="I3" s="269"/>
      <x:c r="J3" s="269"/>
    </x:row>
    <x:row r="4">
      <x:c r="A4" s="269"/>
      <x:c r="B4" s="269"/>
      <x:c r="C4" s="269"/>
      <x:c r="D4" s="269"/>
      <x:c r="E4" s="269"/>
      <x:c r="F4" s="269"/>
      <x:c r="G4" s="269"/>
      <x:c r="H4" s="269"/>
      <x:c r="I4" s="269"/>
      <x:c r="J4" s="269"/>
    </x:row>
    <x:row r="5">
      <x:c r="A5" s="275" t="str">
        <x:v>Period</x:v>
      </x:c>
      <x:c r="B5" s="276"/>
      <x:c r="C5" s="277" t="str">
        <x:f>'Source Data'!C6</x:f>
        <x:v>FY2019</x:v>
      </x:c>
      <x:c r="D5" s="277" t="str">
        <x:f>'Source Data'!D6</x:f>
        <x:v>FY2020</x:v>
      </x:c>
      <x:c r="E5" s="277" t="str">
        <x:f>'Source Data'!E6</x:f>
        <x:v>FY2021</x:v>
      </x:c>
      <x:c r="F5" s="277" t="str">
        <x:f>'Source Data'!F6</x:f>
        <x:v>FY2022</x:v>
      </x:c>
      <x:c r="G5" s="277" t="str">
        <x:f>'Source Data'!G6</x:f>
        <x:v>FY2023</x:v>
      </x:c>
      <x:c r="H5" s="277" t="str">
        <x:f>'Source Data'!H6</x:f>
        <x:v>FY2024</x:v>
      </x:c>
      <x:c r="I5" s="277" t="str">
        <x:f>'Source Data'!I6</x:f>
        <x:v>FY2025</x:v>
      </x:c>
      <x:c r="J5" s="278" t="str">
        <x:f>'Source Data'!J6</x:f>
        <x:v>Q1 2026</x:v>
      </x:c>
    </x:row>
    <x:row r="6">
      <x:c r="A6" s="297" t="str">
        <x:v>Model coordinate</x:v>
      </x:c>
      <x:c r="B6" s="298"/>
      <x:c r="C6" s="299" t="n">
        <x:v>2019</x:v>
      </x:c>
      <x:c r="D6" s="299" t="n">
        <x:v>2020</x:v>
      </x:c>
      <x:c r="E6" s="299" t="n">
        <x:v>2021</x:v>
      </x:c>
      <x:c r="F6" s="299" t="n">
        <x:v>2022</x:v>
      </x:c>
      <x:c r="G6" s="299" t="n">
        <x:v>2023</x:v>
      </x:c>
      <x:c r="H6" s="299" t="n">
        <x:v>2024</x:v>
      </x:c>
      <x:c r="I6" s="299" t="n">
        <x:v>2025</x:v>
      </x:c>
      <x:c r="J6" s="300" t="n">
        <x:v>2025.25</x:v>
      </x:c>
    </x:row>
    <x:row r="7">
      <x:c r="A7" s="297" t="str">
        <x:v>Current-period R&amp;D</x:v>
      </x:c>
      <x:c r="B7" s="298"/>
      <x:c r="C7" s="301" t="n">
        <x:f>'Source Data'!C33</x:f>
        <x:v>111.425</x:v>
      </x:c>
      <x:c r="D7" s="301" t="n">
        <x:f>'Source Data'!D33</x:f>
        <x:v>210.626</x:v>
      </x:c>
      <x:c r="E7" s="301" t="n">
        <x:f>'Source Data'!E33</x:f>
        <x:v>419.769</x:v>
      </x:c>
      <x:c r="F7" s="301" t="n">
        <x:f>'Source Data'!F33</x:f>
        <x:v>752.351</x:v>
      </x:c>
      <x:c r="G7" s="301" t="n">
        <x:f>'Source Data'!G33</x:f>
        <x:v>962.447</x:v>
      </x:c>
      <x:c r="H7" s="301" t="n">
        <x:f>'Source Data'!H33</x:f>
        <x:v>1152.703</x:v>
      </x:c>
      <x:c r="I7" s="301" t="n">
        <x:f>'Source Data'!I33</x:f>
        <x:v>1548.451</x:v>
      </x:c>
      <x:c r="J7" s="302" t="n">
        <x:f>'Source Data'!J33</x:f>
        <x:v>435.298</x:v>
      </x:c>
    </x:row>
    <x:row r="8">
      <x:c r="A8" s="279" t="str">
        <x:v>Reported operating income</x:v>
      </x:c>
      <x:c r="B8" s="280"/>
      <x:c r="C8" s="303" t="n">
        <x:f>'Source Data'!C32</x:f>
        <x:v>-20.14</x:v>
      </x:c>
      <x:c r="D8" s="303" t="n">
        <x:f>'Source Data'!D32</x:f>
        <x:v>-13.773</x:v>
      </x:c>
      <x:c r="E8" s="303" t="n">
        <x:f>'Source Data'!E32</x:f>
        <x:v>-19.156</x:v>
      </x:c>
      <x:c r="F8" s="303" t="n">
        <x:f>'Source Data'!F32</x:f>
        <x:v>-58.695</x:v>
      </x:c>
      <x:c r="G8" s="303" t="n">
        <x:f>'Source Data'!G32</x:f>
        <x:v>-33.464</x:v>
      </x:c>
      <x:c r="H8" s="303" t="n">
        <x:f>'Source Data'!H32</x:f>
        <x:v>54.284</x:v>
      </x:c>
      <x:c r="I8" s="303" t="n">
        <x:f>'Source Data'!I32</x:f>
        <x:v>-44.373</x:v>
      </x:c>
      <x:c r="J8" s="304" t="n">
        <x:f>'Source Data'!J32</x:f>
        <x:v>7.327</x:v>
      </x:c>
    </x:row>
    <x:row r="9">
      <x:c r="A9" s="269"/>
      <x:c r="B9" s="269"/>
      <x:c r="C9" s="269"/>
      <x:c r="D9" s="269"/>
      <x:c r="E9" s="269"/>
      <x:c r="F9" s="269"/>
      <x:c r="G9" s="269"/>
      <x:c r="H9" s="269"/>
      <x:c r="I9" s="269"/>
      <x:c r="J9" s="269"/>
    </x:row>
    <x:row r="10" ht="22" customHeight="1">
      <x:c r="A10" s="257" t="str">
        <x:v>Unamortized Research Asset by Vintage</x:v>
      </x:c>
      <x:c r="B10" s="257"/>
      <x:c r="C10" s="257"/>
      <x:c r="D10" s="257"/>
      <x:c r="E10" s="257"/>
      <x:c r="F10" s="257"/>
      <x:c r="G10" s="257"/>
      <x:c r="H10" s="257"/>
      <x:c r="I10" s="257"/>
      <x:c r="J10" s="257"/>
    </x:row>
    <x:row r="11">
      <x:c r="A11" s="259" t="str">
        <x:v>Vintage coordinate</x:v>
      </x:c>
      <x:c r="B11" s="260" t="str">
        <x:v>R&amp;D expense</x:v>
      </x:c>
      <x:c r="C11" s="260"/>
      <x:c r="D11" s="260"/>
      <x:c r="E11" s="260"/>
      <x:c r="F11" s="260"/>
      <x:c r="G11" s="260"/>
      <x:c r="H11" s="260"/>
      <x:c r="I11" s="260"/>
      <x:c r="J11" s="261"/>
    </x:row>
    <x:row r="12">
      <x:c r="A12" s="305" t="n">
        <x:f>'Source Data'!B45</x:f>
        <x:v>2017</x:v>
      </x:c>
      <x:c r="B12" s="283" t="n">
        <x:f>'Source Data'!C45</x:f>
        <x:v>24.734</x:v>
      </x:c>
      <x:c r="C12" s="286" t="n">
        <x:f>IF(AND($A12&lt;=C$6,C$6-$A12&lt;'Assumptions'!$B$5),$B12*(1-(C$6-$A12)/'Assumptions'!$B$5),0)</x:f>
        <x:v>12.367</x:v>
      </x:c>
      <x:c r="D12" s="286" t="n">
        <x:f>IF(AND($A12&lt;=D$6,D$6-$A12&lt;'Assumptions'!$B$5),$B12*(1-(D$6-$A12)/'Assumptions'!$B$5),0)</x:f>
        <x:v>6.1835</x:v>
      </x:c>
      <x:c r="E12" s="286" t="n">
        <x:f>IF(AND($A12&lt;=E$6,E$6-$A12&lt;'Assumptions'!$B$5),$B12*(1-(E$6-$A12)/'Assumptions'!$B$5),0)</x:f>
        <x:v>0</x:v>
      </x:c>
      <x:c r="F12" s="286" t="n">
        <x:f>IF(AND($A12&lt;=F$6,F$6-$A12&lt;'Assumptions'!$B$5),$B12*(1-(F$6-$A12)/'Assumptions'!$B$5),0)</x:f>
        <x:v>0</x:v>
      </x:c>
      <x:c r="G12" s="286" t="n">
        <x:f>IF(AND($A12&lt;=G$6,G$6-$A12&lt;'Assumptions'!$B$5),$B12*(1-(G$6-$A12)/'Assumptions'!$B$5),0)</x:f>
        <x:v>0</x:v>
      </x:c>
      <x:c r="H12" s="286" t="n">
        <x:f>IF(AND($A12&lt;=H$6,H$6-$A12&lt;'Assumptions'!$B$5),$B12*(1-(H$6-$A12)/'Assumptions'!$B$5),0)</x:f>
        <x:v>0</x:v>
      </x:c>
      <x:c r="I12" s="286" t="n">
        <x:f>IF(AND($A12&lt;=I$6,I$6-$A12&lt;'Assumptions'!$B$5),$B12*(1-(I$6-$A12)/'Assumptions'!$B$5),0)</x:f>
        <x:v>0</x:v>
      </x:c>
      <x:c r="J12" s="286" t="n">
        <x:f>IF(AND($A12&lt;=J$6,J$6-$A12&lt;'Assumptions'!$B$5),$B12*(1-(J$6-$A12)/'Assumptions'!$B$5),0)</x:f>
        <x:v>0</x:v>
      </x:c>
    </x:row>
    <x:row r="13">
      <x:c r="A13" s="305" t="n">
        <x:f>'Source Data'!B46</x:f>
        <x:v>2018</x:v>
      </x:c>
      <x:c r="B13" s="283" t="n">
        <x:f>'Source Data'!C46</x:f>
        <x:v>55.176</x:v>
      </x:c>
      <x:c r="C13" s="286" t="n">
        <x:f>IF(AND($A13&lt;=C$6,C$6-$A13&lt;'Assumptions'!$B$5),$B13*(1-(C$6-$A13)/'Assumptions'!$B$5),0)</x:f>
        <x:v>41.382000000000005</x:v>
      </x:c>
      <x:c r="D13" s="286" t="n">
        <x:f>IF(AND($A13&lt;=D$6,D$6-$A13&lt;'Assumptions'!$B$5),$B13*(1-(D$6-$A13)/'Assumptions'!$B$5),0)</x:f>
        <x:v>27.588</x:v>
      </x:c>
      <x:c r="E13" s="286" t="n">
        <x:f>IF(AND($A13&lt;=E$6,E$6-$A13&lt;'Assumptions'!$B$5),$B13*(1-(E$6-$A13)/'Assumptions'!$B$5),0)</x:f>
        <x:v>13.794</x:v>
      </x:c>
      <x:c r="F13" s="286" t="n">
        <x:f>IF(AND($A13&lt;=F$6,F$6-$A13&lt;'Assumptions'!$B$5),$B13*(1-(F$6-$A13)/'Assumptions'!$B$5),0)</x:f>
        <x:v>0</x:v>
      </x:c>
      <x:c r="G13" s="286" t="n">
        <x:f>IF(AND($A13&lt;=G$6,G$6-$A13&lt;'Assumptions'!$B$5),$B13*(1-(G$6-$A13)/'Assumptions'!$B$5),0)</x:f>
        <x:v>0</x:v>
      </x:c>
      <x:c r="H13" s="286" t="n">
        <x:f>IF(AND($A13&lt;=H$6,H$6-$A13&lt;'Assumptions'!$B$5),$B13*(1-(H$6-$A13)/'Assumptions'!$B$5),0)</x:f>
        <x:v>0</x:v>
      </x:c>
      <x:c r="I13" s="286" t="n">
        <x:f>IF(AND($A13&lt;=I$6,I$6-$A13&lt;'Assumptions'!$B$5),$B13*(1-(I$6-$A13)/'Assumptions'!$B$5),0)</x:f>
        <x:v>0</x:v>
      </x:c>
      <x:c r="J13" s="286" t="n">
        <x:f>IF(AND($A13&lt;=J$6,J$6-$A13&lt;'Assumptions'!$B$5),$B13*(1-(J$6-$A13)/'Assumptions'!$B$5),0)</x:f>
        <x:v>0</x:v>
      </x:c>
    </x:row>
    <x:row r="14">
      <x:c r="A14" s="305" t="n">
        <x:f>'Source Data'!B47</x:f>
        <x:v>2019</x:v>
      </x:c>
      <x:c r="B14" s="283" t="n">
        <x:f>'Source Data'!C47</x:f>
        <x:v>111.425</x:v>
      </x:c>
      <x:c r="C14" s="286" t="n">
        <x:f>IF(AND($A14&lt;=C$6,C$6-$A14&lt;'Assumptions'!$B$5),$B14*(1-(C$6-$A14)/'Assumptions'!$B$5),0)</x:f>
        <x:v>111.425</x:v>
      </x:c>
      <x:c r="D14" s="286" t="n">
        <x:f>IF(AND($A14&lt;=D$6,D$6-$A14&lt;'Assumptions'!$B$5),$B14*(1-(D$6-$A14)/'Assumptions'!$B$5),0)</x:f>
        <x:v>83.56875</x:v>
      </x:c>
      <x:c r="E14" s="286" t="n">
        <x:f>IF(AND($A14&lt;=E$6,E$6-$A14&lt;'Assumptions'!$B$5),$B14*(1-(E$6-$A14)/'Assumptions'!$B$5),0)</x:f>
        <x:v>55.7125</x:v>
      </x:c>
      <x:c r="F14" s="286" t="n">
        <x:f>IF(AND($A14&lt;=F$6,F$6-$A14&lt;'Assumptions'!$B$5),$B14*(1-(F$6-$A14)/'Assumptions'!$B$5),0)</x:f>
        <x:v>27.85625</x:v>
      </x:c>
      <x:c r="G14" s="286" t="n">
        <x:f>IF(AND($A14&lt;=G$6,G$6-$A14&lt;'Assumptions'!$B$5),$B14*(1-(G$6-$A14)/'Assumptions'!$B$5),0)</x:f>
        <x:v>0</x:v>
      </x:c>
      <x:c r="H14" s="286" t="n">
        <x:f>IF(AND($A14&lt;=H$6,H$6-$A14&lt;'Assumptions'!$B$5),$B14*(1-(H$6-$A14)/'Assumptions'!$B$5),0)</x:f>
        <x:v>0</x:v>
      </x:c>
      <x:c r="I14" s="286" t="n">
        <x:f>IF(AND($A14&lt;=I$6,I$6-$A14&lt;'Assumptions'!$B$5),$B14*(1-(I$6-$A14)/'Assumptions'!$B$5),0)</x:f>
        <x:v>0</x:v>
      </x:c>
      <x:c r="J14" s="286" t="n">
        <x:f>IF(AND($A14&lt;=J$6,J$6-$A14&lt;'Assumptions'!$B$5),$B14*(1-(J$6-$A14)/'Assumptions'!$B$5),0)</x:f>
        <x:v>0</x:v>
      </x:c>
    </x:row>
    <x:row r="15">
      <x:c r="A15" s="305" t="n">
        <x:f>'Source Data'!B48</x:f>
        <x:v>2020</x:v>
      </x:c>
      <x:c r="B15" s="283" t="n">
        <x:f>'Source Data'!C48</x:f>
        <x:v>210.626</x:v>
      </x:c>
      <x:c r="C15" s="286" t="n">
        <x:f>IF(AND($A15&lt;=C$6,C$6-$A15&lt;'Assumptions'!$B$5),$B15*(1-(C$6-$A15)/'Assumptions'!$B$5),0)</x:f>
        <x:v>0</x:v>
      </x:c>
      <x:c r="D15" s="286" t="n">
        <x:f>IF(AND($A15&lt;=D$6,D$6-$A15&lt;'Assumptions'!$B$5),$B15*(1-(D$6-$A15)/'Assumptions'!$B$5),0)</x:f>
        <x:v>210.626</x:v>
      </x:c>
      <x:c r="E15" s="286" t="n">
        <x:f>IF(AND($A15&lt;=E$6,E$6-$A15&lt;'Assumptions'!$B$5),$B15*(1-(E$6-$A15)/'Assumptions'!$B$5),0)</x:f>
        <x:v>157.9695</x:v>
      </x:c>
      <x:c r="F15" s="286" t="n">
        <x:f>IF(AND($A15&lt;=F$6,F$6-$A15&lt;'Assumptions'!$B$5),$B15*(1-(F$6-$A15)/'Assumptions'!$B$5),0)</x:f>
        <x:v>105.313</x:v>
      </x:c>
      <x:c r="G15" s="286" t="n">
        <x:f>IF(AND($A15&lt;=G$6,G$6-$A15&lt;'Assumptions'!$B$5),$B15*(1-(G$6-$A15)/'Assumptions'!$B$5),0)</x:f>
        <x:v>52.6565</x:v>
      </x:c>
      <x:c r="H15" s="286" t="n">
        <x:f>IF(AND($A15&lt;=H$6,H$6-$A15&lt;'Assumptions'!$B$5),$B15*(1-(H$6-$A15)/'Assumptions'!$B$5),0)</x:f>
        <x:v>0</x:v>
      </x:c>
      <x:c r="I15" s="286" t="n">
        <x:f>IF(AND($A15&lt;=I$6,I$6-$A15&lt;'Assumptions'!$B$5),$B15*(1-(I$6-$A15)/'Assumptions'!$B$5),0)</x:f>
        <x:v>0</x:v>
      </x:c>
      <x:c r="J15" s="286" t="n">
        <x:f>IF(AND($A15&lt;=J$6,J$6-$A15&lt;'Assumptions'!$B$5),$B15*(1-(J$6-$A15)/'Assumptions'!$B$5),0)</x:f>
        <x:v>0</x:v>
      </x:c>
    </x:row>
    <x:row r="16">
      <x:c r="A16" s="305" t="n">
        <x:f>'Source Data'!B49</x:f>
        <x:v>2021</x:v>
      </x:c>
      <x:c r="B16" s="283" t="n">
        <x:f>'Source Data'!C49</x:f>
        <x:v>419.769</x:v>
      </x:c>
      <x:c r="C16" s="286" t="n">
        <x:f>IF(AND($A16&lt;=C$6,C$6-$A16&lt;'Assumptions'!$B$5),$B16*(1-(C$6-$A16)/'Assumptions'!$B$5),0)</x:f>
        <x:v>0</x:v>
      </x:c>
      <x:c r="D16" s="286" t="n">
        <x:f>IF(AND($A16&lt;=D$6,D$6-$A16&lt;'Assumptions'!$B$5),$B16*(1-(D$6-$A16)/'Assumptions'!$B$5),0)</x:f>
        <x:v>0</x:v>
      </x:c>
      <x:c r="E16" s="286" t="n">
        <x:f>IF(AND($A16&lt;=E$6,E$6-$A16&lt;'Assumptions'!$B$5),$B16*(1-(E$6-$A16)/'Assumptions'!$B$5),0)</x:f>
        <x:v>419.769</x:v>
      </x:c>
      <x:c r="F16" s="286" t="n">
        <x:f>IF(AND($A16&lt;=F$6,F$6-$A16&lt;'Assumptions'!$B$5),$B16*(1-(F$6-$A16)/'Assumptions'!$B$5),0)</x:f>
        <x:v>314.82675</x:v>
      </x:c>
      <x:c r="G16" s="286" t="n">
        <x:f>IF(AND($A16&lt;=G$6,G$6-$A16&lt;'Assumptions'!$B$5),$B16*(1-(G$6-$A16)/'Assumptions'!$B$5),0)</x:f>
        <x:v>209.8845</x:v>
      </x:c>
      <x:c r="H16" s="286" t="n">
        <x:f>IF(AND($A16&lt;=H$6,H$6-$A16&lt;'Assumptions'!$B$5),$B16*(1-(H$6-$A16)/'Assumptions'!$B$5),0)</x:f>
        <x:v>104.94225</x:v>
      </x:c>
      <x:c r="I16" s="286" t="n">
        <x:f>IF(AND($A16&lt;=I$6,I$6-$A16&lt;'Assumptions'!$B$5),$B16*(1-(I$6-$A16)/'Assumptions'!$B$5),0)</x:f>
        <x:v>0</x:v>
      </x:c>
      <x:c r="J16" s="286" t="n">
        <x:f>IF(AND($A16&lt;=J$6,J$6-$A16&lt;'Assumptions'!$B$5),$B16*(1-(J$6-$A16)/'Assumptions'!$B$5),0)</x:f>
        <x:v>0</x:v>
      </x:c>
    </x:row>
    <x:row r="17">
      <x:c r="A17" s="305" t="n">
        <x:f>'Source Data'!B50</x:f>
        <x:v>2022</x:v>
      </x:c>
      <x:c r="B17" s="283" t="n">
        <x:f>'Source Data'!C50</x:f>
        <x:v>752.351</x:v>
      </x:c>
      <x:c r="C17" s="286" t="n">
        <x:f>IF(AND($A17&lt;=C$6,C$6-$A17&lt;'Assumptions'!$B$5),$B17*(1-(C$6-$A17)/'Assumptions'!$B$5),0)</x:f>
        <x:v>0</x:v>
      </x:c>
      <x:c r="D17" s="286" t="n">
        <x:f>IF(AND($A17&lt;=D$6,D$6-$A17&lt;'Assumptions'!$B$5),$B17*(1-(D$6-$A17)/'Assumptions'!$B$5),0)</x:f>
        <x:v>0</x:v>
      </x:c>
      <x:c r="E17" s="286" t="n">
        <x:f>IF(AND($A17&lt;=E$6,E$6-$A17&lt;'Assumptions'!$B$5),$B17*(1-(E$6-$A17)/'Assumptions'!$B$5),0)</x:f>
        <x:v>0</x:v>
      </x:c>
      <x:c r="F17" s="286" t="n">
        <x:f>IF(AND($A17&lt;=F$6,F$6-$A17&lt;'Assumptions'!$B$5),$B17*(1-(F$6-$A17)/'Assumptions'!$B$5),0)</x:f>
        <x:v>752.351</x:v>
      </x:c>
      <x:c r="G17" s="286" t="n">
        <x:f>IF(AND($A17&lt;=G$6,G$6-$A17&lt;'Assumptions'!$B$5),$B17*(1-(G$6-$A17)/'Assumptions'!$B$5),0)</x:f>
        <x:v>564.26325</x:v>
      </x:c>
      <x:c r="H17" s="286" t="n">
        <x:f>IF(AND($A17&lt;=H$6,H$6-$A17&lt;'Assumptions'!$B$5),$B17*(1-(H$6-$A17)/'Assumptions'!$B$5),0)</x:f>
        <x:v>376.1755</x:v>
      </x:c>
      <x:c r="I17" s="286" t="n">
        <x:f>IF(AND($A17&lt;=I$6,I$6-$A17&lt;'Assumptions'!$B$5),$B17*(1-(I$6-$A17)/'Assumptions'!$B$5),0)</x:f>
        <x:v>188.08775</x:v>
      </x:c>
      <x:c r="J17" s="286" t="n">
        <x:f>IF(AND($A17&lt;=J$6,J$6-$A17&lt;'Assumptions'!$B$5),$B17*(1-(J$6-$A17)/'Assumptions'!$B$5),0)</x:f>
        <x:v>141.0658125</x:v>
      </x:c>
    </x:row>
    <x:row r="18">
      <x:c r="A18" s="305" t="n">
        <x:f>'Source Data'!B51</x:f>
        <x:v>2023</x:v>
      </x:c>
      <x:c r="B18" s="283" t="n">
        <x:f>'Source Data'!C51</x:f>
        <x:v>962.447</x:v>
      </x:c>
      <x:c r="C18" s="286" t="n">
        <x:f>IF(AND($A18&lt;=C$6,C$6-$A18&lt;'Assumptions'!$B$5),$B18*(1-(C$6-$A18)/'Assumptions'!$B$5),0)</x:f>
        <x:v>0</x:v>
      </x:c>
      <x:c r="D18" s="286" t="n">
        <x:f>IF(AND($A18&lt;=D$6,D$6-$A18&lt;'Assumptions'!$B$5),$B18*(1-(D$6-$A18)/'Assumptions'!$B$5),0)</x:f>
        <x:v>0</x:v>
      </x:c>
      <x:c r="E18" s="286" t="n">
        <x:f>IF(AND($A18&lt;=E$6,E$6-$A18&lt;'Assumptions'!$B$5),$B18*(1-(E$6-$A18)/'Assumptions'!$B$5),0)</x:f>
        <x:v>0</x:v>
      </x:c>
      <x:c r="F18" s="286" t="n">
        <x:f>IF(AND($A18&lt;=F$6,F$6-$A18&lt;'Assumptions'!$B$5),$B18*(1-(F$6-$A18)/'Assumptions'!$B$5),0)</x:f>
        <x:v>0</x:v>
      </x:c>
      <x:c r="G18" s="286" t="n">
        <x:f>IF(AND($A18&lt;=G$6,G$6-$A18&lt;'Assumptions'!$B$5),$B18*(1-(G$6-$A18)/'Assumptions'!$B$5),0)</x:f>
        <x:v>962.447</x:v>
      </x:c>
      <x:c r="H18" s="286" t="n">
        <x:f>IF(AND($A18&lt;=H$6,H$6-$A18&lt;'Assumptions'!$B$5),$B18*(1-(H$6-$A18)/'Assumptions'!$B$5),0)</x:f>
        <x:v>721.83525</x:v>
      </x:c>
      <x:c r="I18" s="286" t="n">
        <x:f>IF(AND($A18&lt;=I$6,I$6-$A18&lt;'Assumptions'!$B$5),$B18*(1-(I$6-$A18)/'Assumptions'!$B$5),0)</x:f>
        <x:v>481.2235</x:v>
      </x:c>
      <x:c r="J18" s="286" t="n">
        <x:f>IF(AND($A18&lt;=J$6,J$6-$A18&lt;'Assumptions'!$B$5),$B18*(1-(J$6-$A18)/'Assumptions'!$B$5),0)</x:f>
        <x:v>421.0705625</x:v>
      </x:c>
    </x:row>
    <x:row r="19">
      <x:c r="A19" s="305" t="n">
        <x:f>'Source Data'!B52</x:f>
        <x:v>2024</x:v>
      </x:c>
      <x:c r="B19" s="283" t="n">
        <x:f>'Source Data'!C52</x:f>
        <x:v>1152.703</x:v>
      </x:c>
      <x:c r="C19" s="286" t="n">
        <x:f>IF(AND($A19&lt;=C$6,C$6-$A19&lt;'Assumptions'!$B$5),$B19*(1-(C$6-$A19)/'Assumptions'!$B$5),0)</x:f>
        <x:v>0</x:v>
      </x:c>
      <x:c r="D19" s="286" t="n">
        <x:f>IF(AND($A19&lt;=D$6,D$6-$A19&lt;'Assumptions'!$B$5),$B19*(1-(D$6-$A19)/'Assumptions'!$B$5),0)</x:f>
        <x:v>0</x:v>
      </x:c>
      <x:c r="E19" s="286" t="n">
        <x:f>IF(AND($A19&lt;=E$6,E$6-$A19&lt;'Assumptions'!$B$5),$B19*(1-(E$6-$A19)/'Assumptions'!$B$5),0)</x:f>
        <x:v>0</x:v>
      </x:c>
      <x:c r="F19" s="286" t="n">
        <x:f>IF(AND($A19&lt;=F$6,F$6-$A19&lt;'Assumptions'!$B$5),$B19*(1-(F$6-$A19)/'Assumptions'!$B$5),0)</x:f>
        <x:v>0</x:v>
      </x:c>
      <x:c r="G19" s="286" t="n">
        <x:f>IF(AND($A19&lt;=G$6,G$6-$A19&lt;'Assumptions'!$B$5),$B19*(1-(G$6-$A19)/'Assumptions'!$B$5),0)</x:f>
        <x:v>0</x:v>
      </x:c>
      <x:c r="H19" s="286" t="n">
        <x:f>IF(AND($A19&lt;=H$6,H$6-$A19&lt;'Assumptions'!$B$5),$B19*(1-(H$6-$A19)/'Assumptions'!$B$5),0)</x:f>
        <x:v>1152.703</x:v>
      </x:c>
      <x:c r="I19" s="286" t="n">
        <x:f>IF(AND($A19&lt;=I$6,I$6-$A19&lt;'Assumptions'!$B$5),$B19*(1-(I$6-$A19)/'Assumptions'!$B$5),0)</x:f>
        <x:v>864.52725</x:v>
      </x:c>
      <x:c r="J19" s="286" t="n">
        <x:f>IF(AND($A19&lt;=J$6,J$6-$A19&lt;'Assumptions'!$B$5),$B19*(1-(J$6-$A19)/'Assumptions'!$B$5),0)</x:f>
        <x:v>792.4833125</x:v>
      </x:c>
    </x:row>
    <x:row r="20">
      <x:c r="A20" s="305" t="n">
        <x:f>'Source Data'!B53</x:f>
        <x:v>2025</x:v>
      </x:c>
      <x:c r="B20" s="283" t="n">
        <x:f>'Source Data'!C53</x:f>
        <x:v>1548.451</x:v>
      </x:c>
      <x:c r="C20" s="286" t="n">
        <x:f>IF(AND($A20&lt;=C$6,C$6-$A20&lt;'Assumptions'!$B$5),$B20*(1-(C$6-$A20)/'Assumptions'!$B$5),0)</x:f>
        <x:v>0</x:v>
      </x:c>
      <x:c r="D20" s="286" t="n">
        <x:f>IF(AND($A20&lt;=D$6,D$6-$A20&lt;'Assumptions'!$B$5),$B20*(1-(D$6-$A20)/'Assumptions'!$B$5),0)</x:f>
        <x:v>0</x:v>
      </x:c>
      <x:c r="E20" s="286" t="n">
        <x:f>IF(AND($A20&lt;=E$6,E$6-$A20&lt;'Assumptions'!$B$5),$B20*(1-(E$6-$A20)/'Assumptions'!$B$5),0)</x:f>
        <x:v>0</x:v>
      </x:c>
      <x:c r="F20" s="286" t="n">
        <x:f>IF(AND($A20&lt;=F$6,F$6-$A20&lt;'Assumptions'!$B$5),$B20*(1-(F$6-$A20)/'Assumptions'!$B$5),0)</x:f>
        <x:v>0</x:v>
      </x:c>
      <x:c r="G20" s="286" t="n">
        <x:f>IF(AND($A20&lt;=G$6,G$6-$A20&lt;'Assumptions'!$B$5),$B20*(1-(G$6-$A20)/'Assumptions'!$B$5),0)</x:f>
        <x:v>0</x:v>
      </x:c>
      <x:c r="H20" s="286" t="n">
        <x:f>IF(AND($A20&lt;=H$6,H$6-$A20&lt;'Assumptions'!$B$5),$B20*(1-(H$6-$A20)/'Assumptions'!$B$5),0)</x:f>
        <x:v>0</x:v>
      </x:c>
      <x:c r="I20" s="286" t="n">
        <x:f>IF(AND($A20&lt;=I$6,I$6-$A20&lt;'Assumptions'!$B$5),$B20*(1-(I$6-$A20)/'Assumptions'!$B$5),0)</x:f>
        <x:v>1548.451</x:v>
      </x:c>
      <x:c r="J20" s="286" t="n">
        <x:f>IF(AND($A20&lt;=J$6,J$6-$A20&lt;'Assumptions'!$B$5),$B20*(1-(J$6-$A20)/'Assumptions'!$B$5),0)</x:f>
        <x:v>1451.6728125</x:v>
      </x:c>
    </x:row>
    <x:row r="21">
      <x:c r="A21" s="305" t="n">
        <x:f>'Source Data'!B54</x:f>
        <x:v>2025.25</x:v>
      </x:c>
      <x:c r="B21" s="283" t="n">
        <x:f>'Source Data'!C54</x:f>
        <x:v>435.298</x:v>
      </x:c>
      <x:c r="C21" s="286" t="n">
        <x:f>IF(AND($A21&lt;=C$6,C$6-$A21&lt;'Assumptions'!$B$5),$B21*(1-(C$6-$A21)/'Assumptions'!$B$5),0)</x:f>
        <x:v>0</x:v>
      </x:c>
      <x:c r="D21" s="286" t="n">
        <x:f>IF(AND($A21&lt;=D$6,D$6-$A21&lt;'Assumptions'!$B$5),$B21*(1-(D$6-$A21)/'Assumptions'!$B$5),0)</x:f>
        <x:v>0</x:v>
      </x:c>
      <x:c r="E21" s="286" t="n">
        <x:f>IF(AND($A21&lt;=E$6,E$6-$A21&lt;'Assumptions'!$B$5),$B21*(1-(E$6-$A21)/'Assumptions'!$B$5),0)</x:f>
        <x:v>0</x:v>
      </x:c>
      <x:c r="F21" s="286" t="n">
        <x:f>IF(AND($A21&lt;=F$6,F$6-$A21&lt;'Assumptions'!$B$5),$B21*(1-(F$6-$A21)/'Assumptions'!$B$5),0)</x:f>
        <x:v>0</x:v>
      </x:c>
      <x:c r="G21" s="286" t="n">
        <x:f>IF(AND($A21&lt;=G$6,G$6-$A21&lt;'Assumptions'!$B$5),$B21*(1-(G$6-$A21)/'Assumptions'!$B$5),0)</x:f>
        <x:v>0</x:v>
      </x:c>
      <x:c r="H21" s="286" t="n">
        <x:f>IF(AND($A21&lt;=H$6,H$6-$A21&lt;'Assumptions'!$B$5),$B21*(1-(H$6-$A21)/'Assumptions'!$B$5),0)</x:f>
        <x:v>0</x:v>
      </x:c>
      <x:c r="I21" s="286" t="n">
        <x:f>IF(AND($A21&lt;=I$6,I$6-$A21&lt;'Assumptions'!$B$5),$B21*(1-(I$6-$A21)/'Assumptions'!$B$5),0)</x:f>
        <x:v>0</x:v>
      </x:c>
      <x:c r="J21" s="286" t="n">
        <x:f>IF(AND($A21&lt;=J$6,J$6-$A21&lt;'Assumptions'!$B$5),$B21*(1-(J$6-$A21)/'Assumptions'!$B$5),0)</x:f>
        <x:v>435.298</x:v>
      </x:c>
    </x:row>
    <x:row r="22">
      <x:c r="A22" s="269"/>
      <x:c r="B22" s="269"/>
      <x:c r="C22" s="269"/>
      <x:c r="D22" s="269"/>
      <x:c r="E22" s="269"/>
      <x:c r="F22" s="269"/>
      <x:c r="G22" s="269"/>
      <x:c r="H22" s="269"/>
      <x:c r="I22" s="269"/>
      <x:c r="J22" s="269"/>
    </x:row>
    <x:row r="23">
      <x:c r="A23" s="288" t="str">
        <x:v>Research asset</x:v>
      </x:c>
      <x:c r="B23" s="288"/>
      <x:c r="C23" s="289" t="n">
        <x:f>SUM(C12:C21)</x:f>
        <x:v>165.174</x:v>
      </x:c>
      <x:c r="D23" s="289" t="n">
        <x:f>SUM(D12:D21)</x:f>
        <x:v>327.96625</x:v>
      </x:c>
      <x:c r="E23" s="289" t="n">
        <x:f>SUM(E12:E21)</x:f>
        <x:v>647.245</x:v>
      </x:c>
      <x:c r="F23" s="289" t="n">
        <x:f>SUM(F12:F21)</x:f>
        <x:v>1200.347</x:v>
      </x:c>
      <x:c r="G23" s="289" t="n">
        <x:f>SUM(G12:G21)</x:f>
        <x:v>1789.2512499999998</x:v>
      </x:c>
      <x:c r="H23" s="289" t="n">
        <x:f>SUM(H12:H21)</x:f>
        <x:v>2355.656</x:v>
      </x:c>
      <x:c r="I23" s="289" t="n">
        <x:f>SUM(I12:I21)</x:f>
        <x:v>3082.2895</x:v>
      </x:c>
      <x:c r="J23" s="289" t="n">
        <x:f>SUM(J12:J21)</x:f>
        <x:v>3241.5905000000002</x:v>
      </x:c>
    </x:row>
    <x:row r="24">
      <x:c r="A24" s="269" t="str">
        <x:v>Implied amortization</x:v>
      </x:c>
      <x:c r="B24" s="269"/>
      <x:c r="C24" s="286"/>
      <x:c r="D24" s="286" t="n">
        <x:f>C23+D$7-D23</x:f>
        <x:v>47.83375000000001</x:v>
      </x:c>
      <x:c r="E24" s="286" t="n">
        <x:f>D23+E$7-E23</x:f>
        <x:v>100.49024999999995</x:v>
      </x:c>
      <x:c r="F24" s="286" t="n">
        <x:f>E23+F$7-F23</x:f>
        <x:v>199.24900000000002</x:v>
      </x:c>
      <x:c r="G24" s="286" t="n">
        <x:f>F23+G$7-G23</x:f>
        <x:v>373.54275000000007</x:v>
      </x:c>
      <x:c r="H24" s="286" t="n">
        <x:f>G23+H$7-H23</x:f>
        <x:v>586.2982499999998</x:v>
      </x:c>
      <x:c r="I24" s="286" t="n">
        <x:f>H23+I$7-I23</x:f>
        <x:v>821.8175000000001</x:v>
      </x:c>
      <x:c r="J24" s="286" t="n">
        <x:f>I23+J$7-J23</x:f>
        <x:v>275.9969999999994</x:v>
      </x:c>
    </x:row>
    <x:row r="25">
      <x:c r="A25" s="290" t="str">
        <x:v>R&amp;D-adjusted operating income</x:v>
      </x:c>
      <x:c r="B25" s="290"/>
      <x:c r="C25" s="291"/>
      <x:c r="D25" s="291" t="n">
        <x:f>D$8+D$7-D24</x:f>
        <x:v>149.01925</x:v>
      </x:c>
      <x:c r="E25" s="291" t="n">
        <x:f>E$8+E$7-E24</x:f>
        <x:v>300.12275000000005</x:v>
      </x:c>
      <x:c r="F25" s="291" t="n">
        <x:f>F$8+F$7-F24</x:f>
        <x:v>494.4069999999999</x:v>
      </x:c>
      <x:c r="G25" s="291" t="n">
        <x:f>G$8+G$7-G24</x:f>
        <x:v>555.4402499999999</x:v>
      </x:c>
      <x:c r="H25" s="291" t="n">
        <x:f>H$8+H$7-H24</x:f>
        <x:v>620.6887500000003</x:v>
      </x:c>
      <x:c r="I25" s="291" t="n">
        <x:f>I$8+I$7-I24</x:f>
        <x:v>682.2604999999999</x:v>
      </x:c>
      <x:c r="J25" s="291" t="n">
        <x:f>J$8+J$7-J24</x:f>
        <x:v>166.6280000000006</x:v>
      </x:c>
    </x:row>
    <x:row r="26">
      <x:c r="A26" s="269"/>
      <x:c r="B26" s="269"/>
      <x:c r="C26" s="269"/>
      <x:c r="D26" s="269"/>
      <x:c r="E26" s="269"/>
      <x:c r="F26" s="269"/>
      <x:c r="G26" s="269"/>
      <x:c r="H26" s="269"/>
      <x:c r="I26" s="269"/>
      <x:c r="J26" s="269"/>
    </x:row>
    <x:row r="27">
      <x:c r="A27" s="269" t="str">
        <x:v>Data completeness</x:v>
      </x:c>
      <x:c r="B27" s="269"/>
      <x:c r="C27" s="274" t="str">
        <x:f>IF(C$6&lt;2021,"Partial — pre-2017 R&amp;D unavailable","Complete for selected life")</x:f>
        <x:v>Partial — pre-2017 R&amp;D unavailable</x:v>
      </x:c>
      <x:c r="D27" s="274" t="str">
        <x:f>IF(D$6&lt;2021,"Partial — pre-2017 R&amp;D unavailable","Complete for selected life")</x:f>
        <x:v>Partial — pre-2017 R&amp;D unavailable</x:v>
      </x:c>
      <x:c r="E27" s="274" t="str">
        <x:f>IF(E$6&lt;2021,"Partial — pre-2017 R&amp;D unavailable","Complete for selected life")</x:f>
        <x:v>Complete for selected life</x:v>
      </x:c>
      <x:c r="F27" s="274" t="str">
        <x:f>IF(F$6&lt;2021,"Partial — pre-2017 R&amp;D unavailable","Complete for selected life")</x:f>
        <x:v>Complete for selected life</x:v>
      </x:c>
      <x:c r="G27" s="274" t="str">
        <x:f>IF(G$6&lt;2021,"Partial — pre-2017 R&amp;D unavailable","Complete for selected life")</x:f>
        <x:v>Complete for selected life</x:v>
      </x:c>
      <x:c r="H27" s="274" t="str">
        <x:f>IF(H$6&lt;2021,"Partial — pre-2017 R&amp;D unavailable","Complete for selected life")</x:f>
        <x:v>Complete for selected life</x:v>
      </x:c>
      <x:c r="I27" s="274" t="str">
        <x:f>IF(I$6&lt;2021,"Partial — pre-2017 R&amp;D unavailable","Complete for selected life")</x:f>
        <x:v>Complete for selected life</x:v>
      </x:c>
      <x:c r="J27" s="274" t="str">
        <x:f>IF(J$6&lt;2021,"Partial — pre-2017 R&amp;D unavailable","Complete for selected life")</x:f>
        <x:v>Complete for selected life</x:v>
      </x:c>
    </x:row>
  </x:sheetData>
  <x:mergeCells>
    <x:mergeCell ref="A1:J1"/>
    <x:mergeCell ref="A2:J2"/>
    <x:mergeCell ref="A10:J10"/>
    <x:mergeCell ref="A27:B2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</x:cols>
  <x:sheetData>
    <x:row r="1" ht="34" customHeight="1">
      <x:c r="A1" s="227" t="str">
        <x:v>Datadog — Normalized Source Data</x:v>
      </x:c>
      <x:c r="B1" s="227"/>
      <x:c r="C1" s="227"/>
      <x:c r="D1" s="227"/>
      <x:c r="E1" s="227"/>
      <x:c r="F1" s="227"/>
      <x:c r="G1" s="227"/>
      <x:c r="H1" s="227"/>
      <x:c r="I1" s="227"/>
      <x:c r="J1" s="227"/>
    </x:row>
    <x:row r="2">
      <x:c r="A2" s="306" t="str">
        <x:v>USD millions; historical actuals from SEC filings/XBRL. Blank source cells are intentionally not backfilled.</x:v>
      </x:c>
      <x:c r="B2" s="306"/>
      <x:c r="C2" s="306"/>
      <x:c r="D2" s="306"/>
      <x:c r="E2" s="306"/>
      <x:c r="F2" s="306"/>
      <x:c r="G2" s="306"/>
      <x:c r="H2" s="306"/>
      <x:c r="I2" s="306"/>
      <x:c r="J2" s="306"/>
    </x:row>
    <x:row r="3">
      <x:c r="A3" s="229"/>
      <x:c r="B3" s="229"/>
      <x:c r="C3" s="229"/>
      <x:c r="D3" s="229"/>
      <x:c r="E3" s="229"/>
      <x:c r="F3" s="229"/>
      <x:c r="G3" s="229"/>
      <x:c r="H3" s="229"/>
      <x:c r="I3" s="229"/>
      <x:c r="J3" s="229"/>
    </x:row>
    <x:row r="4">
      <x:c r="A4" s="229"/>
      <x:c r="B4" s="229"/>
      <x:c r="C4" s="229"/>
      <x:c r="D4" s="229"/>
      <x:c r="E4" s="229"/>
      <x:c r="F4" s="229"/>
      <x:c r="G4" s="229"/>
      <x:c r="H4" s="229"/>
      <x:c r="I4" s="229"/>
      <x:c r="J4" s="229"/>
    </x:row>
    <x:row r="5">
      <x:c r="A5" s="275" t="str">
        <x:v>Metadata</x:v>
      </x:c>
      <x:c r="B5" s="276"/>
      <x:c r="C5" s="276"/>
      <x:c r="D5" s="276"/>
      <x:c r="E5" s="276"/>
      <x:c r="F5" s="276"/>
      <x:c r="G5" s="276"/>
      <x:c r="H5" s="276"/>
      <x:c r="I5" s="276"/>
      <x:c r="J5" s="307"/>
    </x:row>
    <x:row r="6">
      <x:c r="A6" s="297" t="str">
        <x:v>Period</x:v>
      </x:c>
      <x:c r="B6" s="298"/>
      <x:c r="C6" s="298" t="str">
        <x:v>FY2019</x:v>
      </x:c>
      <x:c r="D6" s="298" t="str">
        <x:v>FY2020</x:v>
      </x:c>
      <x:c r="E6" s="298" t="str">
        <x:v>FY2021</x:v>
      </x:c>
      <x:c r="F6" s="298" t="str">
        <x:v>FY2022</x:v>
      </x:c>
      <x:c r="G6" s="298" t="str">
        <x:v>FY2023</x:v>
      </x:c>
      <x:c r="H6" s="298" t="str">
        <x:v>FY2024</x:v>
      </x:c>
      <x:c r="I6" s="298" t="str">
        <x:v>FY2025</x:v>
      </x:c>
      <x:c r="J6" s="308" t="str">
        <x:v>Q1 2026</x:v>
      </x:c>
    </x:row>
    <x:row r="7">
      <x:c r="A7" s="297" t="str">
        <x:v>Period end</x:v>
      </x:c>
      <x:c r="B7" s="298"/>
      <x:c r="C7" s="309" t="n">
        <x:v>43830</x:v>
      </x:c>
      <x:c r="D7" s="309" t="n">
        <x:v>44196</x:v>
      </x:c>
      <x:c r="E7" s="309" t="n">
        <x:v>44561</x:v>
      </x:c>
      <x:c r="F7" s="309" t="n">
        <x:v>44926</x:v>
      </x:c>
      <x:c r="G7" s="309" t="n">
        <x:v>45291</x:v>
      </x:c>
      <x:c r="H7" s="309" t="n">
        <x:v>45657</x:v>
      </x:c>
      <x:c r="I7" s="309" t="n">
        <x:v>46022</x:v>
      </x:c>
      <x:c r="J7" s="310" t="n">
        <x:v>46112</x:v>
      </x:c>
    </x:row>
    <x:row r="8">
      <x:c r="A8" s="279" t="str">
        <x:v>Filing basis</x:v>
      </x:c>
      <x:c r="B8" s="280"/>
      <x:c r="C8" s="280" t="str">
        <x:v>FY actual</x:v>
      </x:c>
      <x:c r="D8" s="280" t="str">
        <x:v>FY actual</x:v>
      </x:c>
      <x:c r="E8" s="280" t="str">
        <x:v>FY actual</x:v>
      </x:c>
      <x:c r="F8" s="280" t="str">
        <x:v>FY actual</x:v>
      </x:c>
      <x:c r="G8" s="280" t="str">
        <x:v>FY actual</x:v>
      </x:c>
      <x:c r="H8" s="280" t="str">
        <x:v>FY actual</x:v>
      </x:c>
      <x:c r="I8" s="280" t="str">
        <x:v>FY actual</x:v>
      </x:c>
      <x:c r="J8" s="311" t="str">
        <x:v>Quarter actual / BS snapshot</x:v>
      </x:c>
    </x:row>
    <x:row r="9">
      <x:c r="A9" s="229"/>
      <x:c r="B9" s="229"/>
      <x:c r="C9" s="229"/>
      <x:c r="D9" s="229"/>
      <x:c r="E9" s="229"/>
      <x:c r="F9" s="229"/>
      <x:c r="G9" s="229"/>
      <x:c r="H9" s="229"/>
      <x:c r="I9" s="229"/>
      <x:c r="J9" s="229"/>
    </x:row>
    <x:row r="10" ht="22" customHeight="1">
      <x:c r="A10" s="257" t="str">
        <x:v>Balance Sheet Inputs</x:v>
      </x:c>
      <x:c r="B10" s="257"/>
      <x:c r="C10" s="257"/>
      <x:c r="D10" s="257"/>
      <x:c r="E10" s="257"/>
      <x:c r="F10" s="257"/>
      <x:c r="G10" s="257"/>
      <x:c r="H10" s="257"/>
      <x:c r="I10" s="257"/>
      <x:c r="J10" s="257"/>
    </x:row>
    <x:row r="11">
      <x:c r="A11" s="229"/>
      <x:c r="B11" s="229"/>
      <x:c r="C11" s="229"/>
      <x:c r="D11" s="229"/>
      <x:c r="E11" s="229"/>
      <x:c r="F11" s="229"/>
      <x:c r="G11" s="229"/>
      <x:c r="H11" s="229"/>
      <x:c r="I11" s="229"/>
      <x:c r="J11" s="229"/>
    </x:row>
    <x:row r="12">
      <x:c r="A12" s="312" t="str">
        <x:v>Total assets</x:v>
      </x:c>
      <x:c r="B12" s="306" t="str">
        <x:v>total_assets</x:v>
      </x:c>
      <x:c r="C12" s="313" t="n">
        <x:v>1038.041</x:v>
      </x:c>
      <x:c r="D12" s="313" t="n">
        <x:v>1890.285</x:v>
      </x:c>
      <x:c r="E12" s="313" t="n">
        <x:v>2380.794</x:v>
      </x:c>
      <x:c r="F12" s="313" t="n">
        <x:v>3004.852</x:v>
      </x:c>
      <x:c r="G12" s="313" t="n">
        <x:v>3936.072</x:v>
      </x:c>
      <x:c r="H12" s="313" t="n">
        <x:v>5785.339</x:v>
      </x:c>
      <x:c r="I12" s="313" t="n">
        <x:v>6643.844</x:v>
      </x:c>
      <x:c r="J12" s="313" t="n">
        <x:v>6952.012</x:v>
      </x:c>
    </x:row>
    <x:row r="13">
      <x:c r="A13" s="312" t="str">
        <x:v>Total liabilities</x:v>
      </x:c>
      <x:c r="B13" s="306" t="str">
        <x:v>total_liabilities</x:v>
      </x:c>
      <x:c r="C13" s="313" t="n">
        <x:v>255.7</x:v>
      </x:c>
      <x:c r="D13" s="313" t="n">
        <x:v>932.853</x:v>
      </x:c>
      <x:c r="E13" s="313" t="n">
        <x:v>1339.591</x:v>
      </x:c>
      <x:c r="F13" s="313" t="n">
        <x:v>1594.347</x:v>
      </x:c>
      <x:c r="G13" s="313" t="n">
        <x:v>1910.718</x:v>
      </x:c>
      <x:c r="H13" s="313" t="n">
        <x:v>3070.976</x:v>
      </x:c>
      <x:c r="I13" s="313" t="n">
        <x:v>2911.638</x:v>
      </x:c>
      <x:c r="J13" s="313" t="n">
        <x:v>2963.79</x:v>
      </x:c>
    </x:row>
    <x:row r="14">
      <x:c r="A14" s="312" t="str">
        <x:v>Liabilities and equity</x:v>
      </x:c>
      <x:c r="B14" s="306" t="str">
        <x:v>liabilities_and_equity</x:v>
      </x:c>
      <x:c r="C14" s="313" t="n">
        <x:v>1038.041</x:v>
      </x:c>
      <x:c r="D14" s="313" t="n">
        <x:v>1890.285</x:v>
      </x:c>
      <x:c r="E14" s="313" t="n">
        <x:v>2380.794</x:v>
      </x:c>
      <x:c r="F14" s="313" t="n">
        <x:v>3004.852</x:v>
      </x:c>
      <x:c r="G14" s="313" t="n">
        <x:v>3936.072</x:v>
      </x:c>
      <x:c r="H14" s="313" t="n">
        <x:v>5785.339</x:v>
      </x:c>
      <x:c r="I14" s="313" t="n">
        <x:v>6643.844</x:v>
      </x:c>
      <x:c r="J14" s="313" t="n">
        <x:v>6952.012</x:v>
      </x:c>
    </x:row>
    <x:row r="15">
      <x:c r="A15" s="312" t="str">
        <x:v>Current liabilities</x:v>
      </x:c>
      <x:c r="B15" s="306" t="str">
        <x:v>current_liabilities</x:v>
      </x:c>
      <x:c r="C15" s="313" t="n">
        <x:v>200.239</x:v>
      </x:c>
      <x:c r="D15" s="313" t="n">
        <x:v>297.844</x:v>
      </x:c>
      <x:c r="E15" s="313" t="n">
        <x:v>528.696</x:v>
      </x:c>
      <x:c r="F15" s="313" t="n">
        <x:v>759.748</x:v>
      </x:c>
      <x:c r="G15" s="313" t="n">
        <x:v>1003.052</x:v>
      </x:c>
      <x:c r="H15" s="313" t="n">
        <x:v>1862.713</x:v>
      </x:c>
      <x:c r="I15" s="313" t="n">
        <x:v>1591.401</x:v>
      </x:c>
      <x:c r="J15" s="313" t="n">
        <x:v>1655.903</x:v>
      </x:c>
    </x:row>
    <x:row r="16">
      <x:c r="A16" s="312" t="str">
        <x:v>Stockholders' equity</x:v>
      </x:c>
      <x:c r="B16" s="306" t="str">
        <x:v>equity</x:v>
      </x:c>
      <x:c r="C16" s="313" t="n">
        <x:v>782.341</x:v>
      </x:c>
      <x:c r="D16" s="313" t="n">
        <x:v>957.432</x:v>
      </x:c>
      <x:c r="E16" s="313" t="n">
        <x:v>1041.203</x:v>
      </x:c>
      <x:c r="F16" s="313" t="n">
        <x:v>1410.505</x:v>
      </x:c>
      <x:c r="G16" s="313" t="n">
        <x:v>2025.354</x:v>
      </x:c>
      <x:c r="H16" s="313" t="n">
        <x:v>2714.363</x:v>
      </x:c>
      <x:c r="I16" s="313" t="n">
        <x:v>3732.206</x:v>
      </x:c>
      <x:c r="J16" s="313" t="n">
        <x:v>3988.222</x:v>
      </x:c>
    </x:row>
    <x:row r="17">
      <x:c r="A17" s="312" t="str">
        <x:v>Cash and cash equivalents</x:v>
      </x:c>
      <x:c r="B17" s="306" t="str">
        <x:v>cash</x:v>
      </x:c>
      <x:c r="C17" s="313" t="n">
        <x:v>597.297</x:v>
      </x:c>
      <x:c r="D17" s="313" t="n">
        <x:v>224.927</x:v>
      </x:c>
      <x:c r="E17" s="313" t="n">
        <x:v>270.973</x:v>
      </x:c>
      <x:c r="F17" s="313" t="n">
        <x:v>338.985</x:v>
      </x:c>
      <x:c r="G17" s="313" t="n">
        <x:v>330.339</x:v>
      </x:c>
      <x:c r="H17" s="313" t="n">
        <x:v>1246.983</x:v>
      </x:c>
      <x:c r="I17" s="313" t="n">
        <x:v>401.305</x:v>
      </x:c>
      <x:c r="J17" s="313" t="n">
        <x:v>426.36</x:v>
      </x:c>
    </x:row>
    <x:row r="18">
      <x:c r="A18" s="312" t="str">
        <x:v>Marketable securities</x:v>
      </x:c>
      <x:c r="B18" s="306" t="str">
        <x:v>marketable_securities</x:v>
      </x:c>
      <x:c r="C18" s="313" t="n">
        <x:v>176.674</x:v>
      </x:c>
      <x:c r="D18" s="313" t="n">
        <x:v>1292.532</x:v>
      </x:c>
      <x:c r="E18" s="313" t="n">
        <x:v>1283.473</x:v>
      </x:c>
      <x:c r="F18" s="313" t="n">
        <x:v>1545.341</x:v>
      </x:c>
      <x:c r="G18" s="313" t="n">
        <x:v>2252.559</x:v>
      </x:c>
      <x:c r="H18" s="313" t="n">
        <x:v>2942.076</x:v>
      </x:c>
      <x:c r="I18" s="313" t="n">
        <x:v>4073.531</x:v>
      </x:c>
      <x:c r="J18" s="313" t="n">
        <x:v>4332.257</x:v>
      </x:c>
    </x:row>
    <x:row r="19">
      <x:c r="A19" s="312" t="str">
        <x:v>Convertible debt — current</x:v>
      </x:c>
      <x:c r="B19" s="306" t="str">
        <x:v>debt_current</x:v>
      </x:c>
      <x:c r="C19" s="313"/>
      <x:c r="D19" s="313"/>
      <x:c r="E19" s="313"/>
      <x:c r="F19" s="313"/>
      <x:c r="G19" s="313" t="n">
        <x:v>0</x:v>
      </x:c>
      <x:c r="H19" s="313" t="n">
        <x:v>634.023</x:v>
      </x:c>
      <x:c r="I19" s="313" t="n">
        <x:v>0</x:v>
      </x:c>
      <x:c r="J19" s="313"/>
    </x:row>
    <x:row r="20">
      <x:c r="A20" s="312" t="str">
        <x:v>Convertible debt — non-current</x:v>
      </x:c>
      <x:c r="B20" s="306" t="str">
        <x:v>debt_noncurrent</x:v>
      </x:c>
      <x:c r="C20" s="313"/>
      <x:c r="D20" s="313" t="n">
        <x:v>575.864</x:v>
      </x:c>
      <x:c r="E20" s="313" t="n">
        <x:v>735.482</x:v>
      </x:c>
      <x:c r="F20" s="313" t="n">
        <x:v>738.847</x:v>
      </x:c>
      <x:c r="G20" s="313" t="n">
        <x:v>742.235</x:v>
      </x:c>
      <x:c r="H20" s="313" t="n">
        <x:v>979.282</x:v>
      </x:c>
      <x:c r="I20" s="313" t="n">
        <x:v>983.449</x:v>
      </x:c>
      <x:c r="J20" s="313" t="n">
        <x:v>984.496</x:v>
      </x:c>
    </x:row>
    <x:row r="21">
      <x:c r="A21" s="312" t="str">
        <x:v>Operating lease liabilities — current</x:v>
      </x:c>
      <x:c r="B21" s="306" t="str">
        <x:v>lease_current</x:v>
      </x:c>
      <x:c r="C21" s="313" t="n">
        <x:v>11.916</x:v>
      </x:c>
      <x:c r="D21" s="313" t="n">
        <x:v>16.326</x:v>
      </x:c>
      <x:c r="E21" s="313" t="n">
        <x:v>20.157</x:v>
      </x:c>
      <x:c r="F21" s="313" t="n">
        <x:v>22.092</x:v>
      </x:c>
      <x:c r="G21" s="313" t="n">
        <x:v>21.974</x:v>
      </x:c>
      <x:c r="H21" s="313" t="n">
        <x:v>31.97</x:v>
      </x:c>
      <x:c r="I21" s="313" t="n">
        <x:v>39.369</x:v>
      </x:c>
      <x:c r="J21" s="313" t="n">
        <x:v>41.401</x:v>
      </x:c>
    </x:row>
    <x:row r="22">
      <x:c r="A22" s="312" t="str">
        <x:v>Operating lease liabilities — non-current</x:v>
      </x:c>
      <x:c r="B22" s="306" t="str">
        <x:v>lease_noncurrent</x:v>
      </x:c>
      <x:c r="C22" s="313" t="n">
        <x:v>48.51</x:v>
      </x:c>
      <x:c r="D22" s="313" t="n">
        <x:v>51.433</x:v>
      </x:c>
      <x:c r="E22" s="313" t="n">
        <x:v>52.106</x:v>
      </x:c>
      <x:c r="F22" s="313" t="n">
        <x:v>76.582</x:v>
      </x:c>
      <x:c r="G22" s="313" t="n">
        <x:v>138.128</x:v>
      </x:c>
      <x:c r="H22" s="313" t="n">
        <x:v>196.905</x:v>
      </x:c>
      <x:c r="I22" s="313" t="n">
        <x:v>256.187</x:v>
      </x:c>
      <x:c r="J22" s="313" t="n">
        <x:v>259.155</x:v>
      </x:c>
    </x:row>
    <x:row r="23">
      <x:c r="A23" s="312" t="str">
        <x:v>Deferred revenue — current</x:v>
      </x:c>
      <x:c r="B23" s="306" t="str">
        <x:v>deferred_revenue_current</x:v>
      </x:c>
      <x:c r="C23" s="313" t="n">
        <x:v>134.148</x:v>
      </x:c>
      <x:c r="D23" s="313" t="n">
        <x:v>204.825</x:v>
      </x:c>
      <x:c r="E23" s="313" t="n">
        <x:v>371.985</x:v>
      </x:c>
      <x:c r="F23" s="313" t="n">
        <x:v>543.024</x:v>
      </x:c>
      <x:c r="G23" s="313" t="n">
        <x:v>765.735</x:v>
      </x:c>
      <x:c r="H23" s="313" t="n">
        <x:v>961.853</x:v>
      </x:c>
      <x:c r="I23" s="313" t="n">
        <x:v>1193.646</x:v>
      </x:c>
      <x:c r="J23" s="313" t="n">
        <x:v>1231.152</x:v>
      </x:c>
    </x:row>
    <x:row r="24">
      <x:c r="A24" s="312" t="str">
        <x:v>Deferred revenue — non-current</x:v>
      </x:c>
      <x:c r="B24" s="306" t="str">
        <x:v>deferred_revenue_noncurrent</x:v>
      </x:c>
      <x:c r="C24" s="313" t="n">
        <x:v>4.34</x:v>
      </x:c>
      <x:c r="D24" s="313" t="n">
        <x:v>3.45</x:v>
      </x:c>
      <x:c r="E24" s="313" t="n">
        <x:v>13.896</x:v>
      </x:c>
      <x:c r="F24" s="313" t="n">
        <x:v>12.944</x:v>
      </x:c>
      <x:c r="G24" s="313" t="n">
        <x:v>21.21</x:v>
      </x:c>
      <x:c r="H24" s="313" t="n">
        <x:v>22.693</x:v>
      </x:c>
      <x:c r="I24" s="313" t="n">
        <x:v>68.711</x:v>
      </x:c>
      <x:c r="J24" s="313" t="n">
        <x:v>50.918</x:v>
      </x:c>
    </x:row>
    <x:row r="25">
      <x:c r="A25" s="312" t="str">
        <x:v>Goodwill</x:v>
      </x:c>
      <x:c r="B25" s="306" t="str">
        <x:v>goodwill</x:v>
      </x:c>
      <x:c r="C25" s="313" t="n">
        <x:v>9.058</x:v>
      </x:c>
      <x:c r="D25" s="313" t="n">
        <x:v>17.609</x:v>
      </x:c>
      <x:c r="E25" s="313" t="n">
        <x:v>292.176</x:v>
      </x:c>
      <x:c r="F25" s="313" t="n">
        <x:v>348.277</x:v>
      </x:c>
      <x:c r="G25" s="313" t="n">
        <x:v>352.694</x:v>
      </x:c>
      <x:c r="H25" s="313" t="n">
        <x:v>360.381</x:v>
      </x:c>
      <x:c r="I25" s="313" t="n">
        <x:v>530.568</x:v>
      </x:c>
      <x:c r="J25" s="313" t="n">
        <x:v>540.543</x:v>
      </x:c>
    </x:row>
    <x:row r="26">
      <x:c r="A26" s="312" t="str">
        <x:v>Acquired intangible assets, net</x:v>
      </x:c>
      <x:c r="B26" s="306" t="str">
        <x:v>acquired_intangibles</x:v>
      </x:c>
      <x:c r="C26" s="313" t="n">
        <x:v>1.435</x:v>
      </x:c>
      <x:c r="D26" s="313" t="n">
        <x:v>2.069</x:v>
      </x:c>
      <x:c r="E26" s="313" t="n">
        <x:v>15.704</x:v>
      </x:c>
      <x:c r="F26" s="313" t="n">
        <x:v>16.365</x:v>
      </x:c>
      <x:c r="G26" s="313" t="n">
        <x:v>9.617</x:v>
      </x:c>
      <x:c r="H26" s="313" t="n">
        <x:v>3.711</x:v>
      </x:c>
      <x:c r="I26" s="313" t="n">
        <x:v>14.968</x:v>
      </x:c>
      <x:c r="J26" s="313" t="n">
        <x:v>14.929</x:v>
      </x:c>
    </x:row>
    <x:row r="27">
      <x:c r="A27" s="312" t="str">
        <x:v>Operating lease right-of-use asset</x:v>
      </x:c>
      <x:c r="B27" s="306" t="str">
        <x:v>lease_asset</x:v>
      </x:c>
      <x:c r="C27" s="313" t="n">
        <x:v>53.002</x:v>
      </x:c>
      <x:c r="D27" s="313" t="n">
        <x:v>57.829</x:v>
      </x:c>
      <x:c r="E27" s="313" t="n">
        <x:v>61.355</x:v>
      </x:c>
      <x:c r="F27" s="313" t="n">
        <x:v>87.629</x:v>
      </x:c>
      <x:c r="G27" s="313" t="n">
        <x:v>126.562</x:v>
      </x:c>
      <x:c r="H27" s="313" t="n">
        <x:v>172.512</x:v>
      </x:c>
      <x:c r="I27" s="313" t="n">
        <x:v>214.674</x:v>
      </x:c>
      <x:c r="J27" s="313" t="n">
        <x:v>213.26</x:v>
      </x:c>
    </x:row>
    <x:row r="28">
      <x:c r="A28" s="312" t="str">
        <x:v>Property and equipment, net</x:v>
      </x:c>
      <x:c r="B28" s="306" t="str">
        <x:v>ppe_net</x:v>
      </x:c>
      <x:c r="C28" s="313" t="n">
        <x:v>32.749</x:v>
      </x:c>
      <x:c r="D28" s="313" t="n">
        <x:v>47.197</x:v>
      </x:c>
      <x:c r="E28" s="313" t="n">
        <x:v>75.152</x:v>
      </x:c>
      <x:c r="F28" s="313" t="n">
        <x:v>125.346</x:v>
      </x:c>
      <x:c r="G28" s="313" t="n">
        <x:v>171.872</x:v>
      </x:c>
      <x:c r="H28" s="313" t="n">
        <x:v>226.97</x:v>
      </x:c>
      <x:c r="I28" s="313" t="n">
        <x:v>338.093</x:v>
      </x:c>
      <x:c r="J28" s="313" t="n">
        <x:v>378.944</x:v>
      </x:c>
    </x:row>
    <x:row r="29">
      <x:c r="A29" s="312"/>
      <x:c r="B29" s="229"/>
      <x:c r="C29" s="312"/>
      <x:c r="D29" s="312"/>
      <x:c r="E29" s="312"/>
      <x:c r="F29" s="312"/>
      <x:c r="G29" s="312"/>
      <x:c r="H29" s="312"/>
      <x:c r="I29" s="312"/>
      <x:c r="J29" s="312"/>
    </x:row>
    <x:row r="30" ht="22" customHeight="1">
      <x:c r="A30" s="314" t="str">
        <x:v>Income Statement Inputs</x:v>
      </x:c>
      <x:c r="B30" s="257"/>
      <x:c r="C30" s="314"/>
      <x:c r="D30" s="314"/>
      <x:c r="E30" s="314"/>
      <x:c r="F30" s="314"/>
      <x:c r="G30" s="314"/>
      <x:c r="H30" s="314"/>
      <x:c r="I30" s="314"/>
      <x:c r="J30" s="314"/>
    </x:row>
    <x:row r="31">
      <x:c r="A31" s="312" t="str">
        <x:v>Revenue</x:v>
      </x:c>
      <x:c r="B31" s="229" t="str">
        <x:v>RevenueFromContractWithCustomerExcludingAssessedTax</x:v>
      </x:c>
      <x:c r="C31" s="313" t="n">
        <x:v>362.78</x:v>
      </x:c>
      <x:c r="D31" s="313" t="n">
        <x:v>603.466</x:v>
      </x:c>
      <x:c r="E31" s="313" t="n">
        <x:v>1028.784</x:v>
      </x:c>
      <x:c r="F31" s="313" t="n">
        <x:v>1675.1</x:v>
      </x:c>
      <x:c r="G31" s="313" t="n">
        <x:v>2128.359</x:v>
      </x:c>
      <x:c r="H31" s="313" t="n">
        <x:v>2684.275</x:v>
      </x:c>
      <x:c r="I31" s="313" t="n">
        <x:v>3427.158</x:v>
      </x:c>
      <x:c r="J31" s="313" t="n">
        <x:v>1006.426</x:v>
      </x:c>
    </x:row>
    <x:row r="32">
      <x:c r="A32" s="312" t="str">
        <x:v>Operating income (loss)</x:v>
      </x:c>
      <x:c r="B32" s="229" t="str">
        <x:v>OperatingIncomeLoss</x:v>
      </x:c>
      <x:c r="C32" s="313" t="n">
        <x:v>-20.14</x:v>
      </x:c>
      <x:c r="D32" s="313" t="n">
        <x:v>-13.773</x:v>
      </x:c>
      <x:c r="E32" s="313" t="n">
        <x:v>-19.156</x:v>
      </x:c>
      <x:c r="F32" s="313" t="n">
        <x:v>-58.695</x:v>
      </x:c>
      <x:c r="G32" s="313" t="n">
        <x:v>-33.464</x:v>
      </x:c>
      <x:c r="H32" s="313" t="n">
        <x:v>54.284</x:v>
      </x:c>
      <x:c r="I32" s="313" t="n">
        <x:v>-44.373</x:v>
      </x:c>
      <x:c r="J32" s="313" t="n">
        <x:v>7.327</x:v>
      </x:c>
    </x:row>
    <x:row r="33">
      <x:c r="A33" s="312" t="str">
        <x:v>Research and development expense</x:v>
      </x:c>
      <x:c r="B33" s="229" t="str">
        <x:v>ResearchAndDevelopmentExpense</x:v>
      </x:c>
      <x:c r="C33" s="313" t="n">
        <x:v>111.425</x:v>
      </x:c>
      <x:c r="D33" s="313" t="n">
        <x:v>210.626</x:v>
      </x:c>
      <x:c r="E33" s="313" t="n">
        <x:v>419.769</x:v>
      </x:c>
      <x:c r="F33" s="313" t="n">
        <x:v>752.351</x:v>
      </x:c>
      <x:c r="G33" s="313" t="n">
        <x:v>962.447</x:v>
      </x:c>
      <x:c r="H33" s="313" t="n">
        <x:v>1152.703</x:v>
      </x:c>
      <x:c r="I33" s="313" t="n">
        <x:v>1548.451</x:v>
      </x:c>
      <x:c r="J33" s="313" t="n">
        <x:v>435.298</x:v>
      </x:c>
    </x:row>
    <x:row r="34">
      <x:c r="A34" s="229"/>
      <x:c r="B34" s="229"/>
      <x:c r="C34" s="229"/>
      <x:c r="D34" s="229"/>
      <x:c r="E34" s="229"/>
      <x:c r="F34" s="229"/>
      <x:c r="G34" s="229"/>
      <x:c r="H34" s="229"/>
      <x:c r="I34" s="229"/>
      <x:c r="J34" s="229"/>
    </x:row>
    <x:row r="35">
      <x:c r="A35" s="229"/>
      <x:c r="B35" s="229"/>
      <x:c r="C35" s="229"/>
      <x:c r="D35" s="229"/>
      <x:c r="E35" s="229"/>
      <x:c r="F35" s="229"/>
      <x:c r="G35" s="229"/>
      <x:c r="H35" s="229"/>
      <x:c r="I35" s="229"/>
      <x:c r="J35" s="229"/>
    </x:row>
    <x:row r="36" ht="22" customHeight="1">
      <x:c r="A36" s="257" t="str">
        <x:v>Quarterly Helpers for Latest LTM Revenue</x:v>
      </x:c>
      <x:c r="B36" s="257"/>
      <x:c r="C36" s="257"/>
      <x:c r="D36" s="257"/>
      <x:c r="E36" s="257"/>
      <x:c r="F36" s="229"/>
      <x:c r="G36" s="229"/>
      <x:c r="H36" s="229"/>
      <x:c r="I36" s="229"/>
      <x:c r="J36" s="229"/>
    </x:row>
    <x:row r="37">
      <x:c r="A37" s="259" t="str">
        <x:v>Metric</x:v>
      </x:c>
      <x:c r="B37" s="260" t="str">
        <x:v>Q1 2025</x:v>
      </x:c>
      <x:c r="C37" s="260" t="str">
        <x:v>Q1 2026</x:v>
      </x:c>
      <x:c r="D37" s="261" t="str">
        <x:v>Use</x:v>
      </x:c>
      <x:c r="E37" s="229"/>
      <x:c r="F37" s="229"/>
      <x:c r="G37" s="229"/>
      <x:c r="H37" s="229"/>
      <x:c r="I37" s="229"/>
      <x:c r="J37" s="229"/>
    </x:row>
    <x:row r="38">
      <x:c r="A38" s="229" t="str">
        <x:v>Revenue</x:v>
      </x:c>
      <x:c r="B38" s="315" t="n">
        <x:v>761.553</x:v>
      </x:c>
      <x:c r="C38" s="315" t="n">
        <x:v>1006.426</x:v>
      </x:c>
      <x:c r="D38" s="229" t="str">
        <x:v>LTM revenue bridge</x:v>
      </x:c>
      <x:c r="E38" s="229"/>
      <x:c r="F38" s="229"/>
      <x:c r="G38" s="229"/>
      <x:c r="H38" s="229"/>
      <x:c r="I38" s="229"/>
      <x:c r="J38" s="229"/>
    </x:row>
    <x:row r="39">
      <x:c r="A39" s="229" t="str">
        <x:v>Operating income</x:v>
      </x:c>
      <x:c r="B39" s="315" t="n">
        <x:v>-12.42</x:v>
      </x:c>
      <x:c r="C39" s="315" t="n">
        <x:v>7.327</x:v>
      </x:c>
      <x:c r="D39" s="229" t="str">
        <x:v>Reference only</x:v>
      </x:c>
      <x:c r="E39" s="229"/>
      <x:c r="F39" s="229"/>
      <x:c r="G39" s="229"/>
      <x:c r="H39" s="229"/>
      <x:c r="I39" s="229"/>
      <x:c r="J39" s="229"/>
    </x:row>
    <x:row r="40">
      <x:c r="A40" s="229" t="str">
        <x:v>R&amp;D expense</x:v>
      </x:c>
      <x:c r="B40" s="315" t="n">
        <x:v>341.061</x:v>
      </x:c>
      <x:c r="C40" s="315" t="n">
        <x:v>435.298</x:v>
      </x:c>
      <x:c r="D40" s="229" t="str">
        <x:v>Q1 research-asset roll-forward</x:v>
      </x:c>
      <x:c r="E40" s="229"/>
      <x:c r="F40" s="229"/>
      <x:c r="G40" s="229"/>
      <x:c r="H40" s="229"/>
      <x:c r="I40" s="229"/>
      <x:c r="J40" s="229"/>
    </x:row>
    <x:row r="41">
      <x:c r="A41" s="229"/>
      <x:c r="B41" s="229"/>
      <x:c r="C41" s="229"/>
      <x:c r="D41" s="229"/>
      <x:c r="E41" s="229"/>
      <x:c r="F41" s="229"/>
      <x:c r="G41" s="229"/>
      <x:c r="H41" s="229"/>
      <x:c r="I41" s="229"/>
      <x:c r="J41" s="229"/>
    </x:row>
    <x:row r="42">
      <x:c r="A42" s="229"/>
      <x:c r="B42" s="229"/>
      <x:c r="C42" s="229"/>
      <x:c r="D42" s="229"/>
      <x:c r="E42" s="229"/>
      <x:c r="F42" s="229"/>
      <x:c r="G42" s="229"/>
      <x:c r="H42" s="229"/>
      <x:c r="I42" s="229"/>
      <x:c r="J42" s="229"/>
    </x:row>
    <x:row r="43" ht="22" customHeight="1">
      <x:c r="A43" s="257" t="str">
        <x:v>Historical R&amp;D Vintages</x:v>
      </x:c>
      <x:c r="B43" s="257"/>
      <x:c r="C43" s="257"/>
      <x:c r="D43" s="257"/>
      <x:c r="E43" s="257"/>
      <x:c r="F43" s="229"/>
      <x:c r="G43" s="229"/>
      <x:c r="H43" s="229"/>
      <x:c r="I43" s="229"/>
      <x:c r="J43" s="229"/>
    </x:row>
    <x:row r="44">
      <x:c r="A44" s="259" t="str">
        <x:v>Vintage</x:v>
      </x:c>
      <x:c r="B44" s="260" t="str">
        <x:v>Model coordinate</x:v>
      </x:c>
      <x:c r="C44" s="260" t="str">
        <x:v>R&amp;D expense</x:v>
      </x:c>
      <x:c r="D44" s="260" t="str">
        <x:v>Source ID</x:v>
      </x:c>
      <x:c r="E44" s="261" t="str">
        <x:v>Source URL</x:v>
      </x:c>
      <x:c r="F44" s="229"/>
      <x:c r="G44" s="229"/>
      <x:c r="H44" s="229"/>
      <x:c r="I44" s="229"/>
      <x:c r="J44" s="229"/>
    </x:row>
    <x:row r="45">
      <x:c r="A45" s="229" t="str">
        <x:v>FY2017</x:v>
      </x:c>
      <x:c r="B45" s="316" t="n">
        <x:v>2017</x:v>
      </x:c>
      <x:c r="C45" s="315" t="n">
        <x:v>24.734</x:v>
      </x:c>
      <x:c r="D45" s="229" t="str">
        <x:v>SRC-001</x:v>
      </x:c>
      <x:c r="E45" s="317" t="str">
        <x:v>See Sources &amp; Audit</x:v>
      </x:c>
      <x:c r="F45" s="229"/>
      <x:c r="G45" s="229"/>
      <x:c r="H45" s="229"/>
      <x:c r="I45" s="229"/>
      <x:c r="J45" s="229"/>
    </x:row>
    <x:row r="46">
      <x:c r="A46" s="229" t="str">
        <x:v>FY2018</x:v>
      </x:c>
      <x:c r="B46" s="316" t="n">
        <x:v>2018</x:v>
      </x:c>
      <x:c r="C46" s="315" t="n">
        <x:v>55.176</x:v>
      </x:c>
      <x:c r="D46" s="229" t="str">
        <x:v>SRC-002</x:v>
      </x:c>
      <x:c r="E46" s="317" t="str">
        <x:v>See Sources &amp; Audit</x:v>
      </x:c>
      <x:c r="F46" s="229"/>
      <x:c r="G46" s="229"/>
      <x:c r="H46" s="229"/>
      <x:c r="I46" s="229"/>
      <x:c r="J46" s="229"/>
    </x:row>
    <x:row r="47">
      <x:c r="A47" s="229" t="str">
        <x:v>FY2019</x:v>
      </x:c>
      <x:c r="B47" s="316" t="n">
        <x:v>2019</x:v>
      </x:c>
      <x:c r="C47" s="315" t="n">
        <x:v>111.425</x:v>
      </x:c>
      <x:c r="D47" s="229" t="str">
        <x:v>SRC-003</x:v>
      </x:c>
      <x:c r="E47" s="317" t="str">
        <x:v>See Sources &amp; Audit</x:v>
      </x:c>
      <x:c r="F47" s="229"/>
      <x:c r="G47" s="229"/>
      <x:c r="H47" s="229"/>
      <x:c r="I47" s="229"/>
      <x:c r="J47" s="229"/>
    </x:row>
    <x:row r="48">
      <x:c r="A48" s="229" t="str">
        <x:v>FY2020</x:v>
      </x:c>
      <x:c r="B48" s="316" t="n">
        <x:v>2020</x:v>
      </x:c>
      <x:c r="C48" s="315" t="n">
        <x:v>210.626</x:v>
      </x:c>
      <x:c r="D48" s="229" t="str">
        <x:v>SRC-004</x:v>
      </x:c>
      <x:c r="E48" s="317" t="str">
        <x:v>See Sources &amp; Audit</x:v>
      </x:c>
      <x:c r="F48" s="229"/>
      <x:c r="G48" s="229"/>
      <x:c r="H48" s="229"/>
      <x:c r="I48" s="229"/>
      <x:c r="J48" s="229"/>
    </x:row>
    <x:row r="49">
      <x:c r="A49" s="229" t="str">
        <x:v>FY2021</x:v>
      </x:c>
      <x:c r="B49" s="316" t="n">
        <x:v>2021</x:v>
      </x:c>
      <x:c r="C49" s="315" t="n">
        <x:v>419.769</x:v>
      </x:c>
      <x:c r="D49" s="229" t="str">
        <x:v>SRC-005</x:v>
      </x:c>
      <x:c r="E49" s="317" t="str">
        <x:v>See Sources &amp; Audit</x:v>
      </x:c>
      <x:c r="F49" s="229"/>
      <x:c r="G49" s="229"/>
      <x:c r="H49" s="229"/>
      <x:c r="I49" s="229"/>
      <x:c r="J49" s="229"/>
    </x:row>
    <x:row r="50">
      <x:c r="A50" s="229" t="str">
        <x:v>FY2022</x:v>
      </x:c>
      <x:c r="B50" s="316" t="n">
        <x:v>2022</x:v>
      </x:c>
      <x:c r="C50" s="315" t="n">
        <x:v>752.351</x:v>
      </x:c>
      <x:c r="D50" s="229" t="str">
        <x:v>SRC-006</x:v>
      </x:c>
      <x:c r="E50" s="317" t="str">
        <x:v>See Sources &amp; Audit</x:v>
      </x:c>
      <x:c r="F50" s="229"/>
      <x:c r="G50" s="229"/>
      <x:c r="H50" s="229"/>
      <x:c r="I50" s="229"/>
      <x:c r="J50" s="229"/>
    </x:row>
    <x:row r="51">
      <x:c r="A51" s="229" t="str">
        <x:v>FY2023</x:v>
      </x:c>
      <x:c r="B51" s="316" t="n">
        <x:v>2023</x:v>
      </x:c>
      <x:c r="C51" s="315" t="n">
        <x:v>962.447</x:v>
      </x:c>
      <x:c r="D51" s="229" t="str">
        <x:v>SRC-007</x:v>
      </x:c>
      <x:c r="E51" s="317" t="str">
        <x:v>See Sources &amp; Audit</x:v>
      </x:c>
      <x:c r="F51" s="229"/>
      <x:c r="G51" s="229"/>
      <x:c r="H51" s="229"/>
      <x:c r="I51" s="229"/>
      <x:c r="J51" s="229"/>
    </x:row>
    <x:row r="52">
      <x:c r="A52" s="229" t="str">
        <x:v>FY2024</x:v>
      </x:c>
      <x:c r="B52" s="316" t="n">
        <x:v>2024</x:v>
      </x:c>
      <x:c r="C52" s="315" t="n">
        <x:v>1152.703</x:v>
      </x:c>
      <x:c r="D52" s="229" t="str">
        <x:v>SRC-007</x:v>
      </x:c>
      <x:c r="E52" s="317" t="str">
        <x:v>See Sources &amp; Audit</x:v>
      </x:c>
      <x:c r="F52" s="229"/>
      <x:c r="G52" s="229"/>
      <x:c r="H52" s="229"/>
      <x:c r="I52" s="229"/>
      <x:c r="J52" s="229"/>
    </x:row>
    <x:row r="53">
      <x:c r="A53" s="229" t="str">
        <x:v>FY2025</x:v>
      </x:c>
      <x:c r="B53" s="316" t="n">
        <x:v>2025</x:v>
      </x:c>
      <x:c r="C53" s="315" t="n">
        <x:v>1548.451</x:v>
      </x:c>
      <x:c r="D53" s="229" t="str">
        <x:v>SRC-007</x:v>
      </x:c>
      <x:c r="E53" s="317" t="str">
        <x:v>See Sources &amp; Audit</x:v>
      </x:c>
      <x:c r="F53" s="229"/>
      <x:c r="G53" s="229"/>
      <x:c r="H53" s="229"/>
      <x:c r="I53" s="229"/>
      <x:c r="J53" s="229"/>
    </x:row>
    <x:row r="54">
      <x:c r="A54" s="229" t="str">
        <x:v>Q1 2026</x:v>
      </x:c>
      <x:c r="B54" s="316" t="n">
        <x:v>2025.25</x:v>
      </x:c>
      <x:c r="C54" s="315" t="n">
        <x:v>435.298</x:v>
      </x:c>
      <x:c r="D54" s="229" t="str">
        <x:v>SRC-008</x:v>
      </x:c>
      <x:c r="E54" s="317" t="str">
        <x:v>See Sources &amp; Audit</x:v>
      </x:c>
      <x:c r="F54" s="229"/>
      <x:c r="G54" s="229"/>
      <x:c r="H54" s="229"/>
      <x:c r="I54" s="229"/>
      <x:c r="J54" s="229"/>
    </x:row>
    <x:row r="55">
      <x:c r="A55" s="229"/>
      <x:c r="B55" s="229"/>
      <x:c r="C55" s="229"/>
      <x:c r="D55" s="229"/>
      <x:c r="E55" s="229"/>
      <x:c r="F55" s="229"/>
      <x:c r="G55" s="229"/>
      <x:c r="H55" s="229"/>
      <x:c r="I55" s="229"/>
      <x:c r="J55" s="229"/>
    </x:row>
    <x:row r="56">
      <x:c r="A56" s="229"/>
      <x:c r="B56" s="229"/>
      <x:c r="C56" s="229"/>
      <x:c r="D56" s="229"/>
      <x:c r="E56" s="229"/>
      <x:c r="F56" s="229"/>
      <x:c r="G56" s="229"/>
      <x:c r="H56" s="229"/>
      <x:c r="I56" s="229"/>
      <x:c r="J56" s="229"/>
    </x:row>
    <x:row r="57">
      <x:c r="A57" s="229"/>
      <x:c r="B57" s="229"/>
      <x:c r="C57" s="229"/>
      <x:c r="D57" s="229"/>
      <x:c r="E57" s="229"/>
      <x:c r="F57" s="229"/>
      <x:c r="G57" s="229"/>
      <x:c r="H57" s="229"/>
      <x:c r="I57" s="229"/>
      <x:c r="J57" s="229"/>
    </x:row>
    <x:row r="58">
      <x:c r="A58" s="229"/>
      <x:c r="B58" s="229"/>
      <x:c r="C58" s="229"/>
      <x:c r="D58" s="229"/>
      <x:c r="E58" s="229"/>
      <x:c r="F58" s="229"/>
      <x:c r="G58" s="229"/>
      <x:c r="H58" s="229"/>
      <x:c r="I58" s="229"/>
      <x:c r="J58" s="229"/>
    </x:row>
    <x:row r="59">
      <x:c r="A59" s="229"/>
      <x:c r="B59" s="229"/>
      <x:c r="C59" s="229"/>
      <x:c r="D59" s="229"/>
      <x:c r="E59" s="229"/>
      <x:c r="F59" s="229"/>
      <x:c r="G59" s="229"/>
      <x:c r="H59" s="229"/>
      <x:c r="I59" s="229"/>
      <x:c r="J59" s="229"/>
    </x:row>
    <x:row r="60">
      <x:c r="A60" s="229"/>
      <x:c r="B60" s="229"/>
      <x:c r="C60" s="229"/>
      <x:c r="D60" s="229"/>
      <x:c r="E60" s="229"/>
      <x:c r="F60" s="229"/>
      <x:c r="G60" s="229"/>
      <x:c r="H60" s="229"/>
      <x:c r="I60" s="229"/>
      <x:c r="J60" s="229"/>
    </x:row>
  </x:sheetData>
  <x:mergeCells>
    <x:mergeCell ref="A1:J1"/>
    <x:mergeCell ref="A2:J2"/>
    <x:mergeCell ref="A10:J10"/>
    <x:mergeCell ref="A30:J30"/>
    <x:mergeCell ref="A36:E36"/>
    <x:mergeCell ref="A43:E43"/>
  </x:mergeCells>
  <x:pageMargins left="0.7" right="0.7" top="0.75" bottom="0.75" header="0.3" footer="0.3"/>
  <x:legacyDrawing xmlns:r="http://schemas.openxmlformats.org/officeDocument/2006/relationships" r:id="R84e6dae7d92f448a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6" hidden="0" customWidth="1"/>
    <x:col min="4" max="4" width="18" hidden="0" customWidth="1"/>
    <x:col min="5" max="5" width="22" hidden="0" customWidth="1"/>
    <x:col min="6" max="6" width="30" hidden="0" customWidth="1"/>
    <x:col min="7" max="7" width="30" hidden="0" customWidth="1"/>
    <x:col min="8" max="8" width="58" hidden="0" customWidth="1"/>
    <x:col min="9" max="9" width="24" hidden="0" customWidth="1"/>
    <x:col min="10" max="10" width="14" hidden="0" customWidth="1"/>
  </x:cols>
  <x:sheetData>
    <x:row r="1" ht="34" customHeight="1">
      <x:c r="A1" s="227" t="str">
        <x:v>Sources, Assumptions and QA Flags</x:v>
      </x:c>
      <x:c r="B1" s="227"/>
      <x:c r="C1" s="227"/>
      <x:c r="D1" s="227"/>
      <x:c r="E1" s="227"/>
      <x:c r="F1" s="227"/>
      <x:c r="G1" s="227"/>
      <x:c r="H1" s="227"/>
      <x:c r="I1" s="227"/>
      <x:c r="J1" s="227"/>
    </x:row>
    <x:row r="2">
      <x:c r="A2" s="269"/>
      <x:c r="B2" s="269"/>
      <x:c r="C2" s="269"/>
      <x:c r="D2" s="269"/>
      <x:c r="E2" s="269"/>
      <x:c r="F2" s="269"/>
      <x:c r="G2" s="269"/>
      <x:c r="H2" s="269"/>
      <x:c r="I2" s="269"/>
      <x:c r="J2" s="269"/>
    </x:row>
    <x:row r="3" ht="22" customHeight="1">
      <x:c r="A3" s="257" t="str">
        <x:v>Source Index</x:v>
      </x:c>
      <x:c r="B3" s="257"/>
      <x:c r="C3" s="257"/>
      <x:c r="D3" s="257"/>
      <x:c r="E3" s="257"/>
      <x:c r="F3" s="257"/>
      <x:c r="G3" s="257"/>
      <x:c r="H3" s="257"/>
      <x:c r="I3" s="257"/>
      <x:c r="J3" s="257"/>
    </x:row>
    <x:row r="4">
      <x:c r="A4" s="318" t="str">
        <x:v>Source ID</x:v>
      </x:c>
      <x:c r="B4" s="319" t="str">
        <x:v>Source name</x:v>
      </x:c>
      <x:c r="C4" s="319" t="str">
        <x:v>Type</x:v>
      </x:c>
      <x:c r="D4" s="319" t="str">
        <x:v>Provider</x:v>
      </x:c>
      <x:c r="E4" s="319" t="str">
        <x:v>Period covered</x:v>
      </x:c>
      <x:c r="F4" s="319" t="str">
        <x:v>Filed / as-of</x:v>
      </x:c>
      <x:c r="G4" s="319" t="str">
        <x:v>Retrieved</x:v>
      </x:c>
      <x:c r="H4" s="319" t="str">
        <x:v>URL</x:v>
      </x:c>
      <x:c r="I4" s="319" t="str">
        <x:v>Evidence label</x:v>
      </x:c>
      <x:c r="J4" s="320" t="str">
        <x:v>Confidence</x:v>
      </x:c>
    </x:row>
    <x:row r="5">
      <x:c r="A5" s="321" t="str">
        <x:v>SRC-001</x:v>
      </x:c>
      <x:c r="B5" s="322" t="str">
        <x:v>Datadog 10-K 0001564590-20-006422</x:v>
      </x:c>
      <x:c r="C5" s="322" t="str">
        <x:v>filing</x:v>
      </x:c>
      <x:c r="D5" s="322" t="str">
        <x:v>SEC / Datadog</x:v>
      </x:c>
      <x:c r="E5" s="322" t="str">
        <x:v>FY2017</x:v>
      </x:c>
      <x:c r="F5" s="323" t="str">
        <x:v>2020-02-25</x:v>
      </x:c>
      <x:c r="G5" s="323" t="str">
        <x:v>2026-07-31</x:v>
      </x:c>
      <x:c r="H5" s="324" t="str">
        <x:v>https://www.sec.gov/Archives/edgar/data/1561550/000156459020006422/0001564590-20-006422-index.html</x:v>
      </x:c>
      <x:c r="I5" s="322" t="str">
        <x:v>fact_source_reported</x:v>
      </x:c>
      <x:c r="J5" s="322" t="str">
        <x:v>High</x:v>
      </x:c>
    </x:row>
    <x:row r="6">
      <x:c r="A6" s="321" t="str">
        <x:v>SRC-002</x:v>
      </x:c>
      <x:c r="B6" s="322" t="str">
        <x:v>Datadog 10-K 0001564590-21-009770</x:v>
      </x:c>
      <x:c r="C6" s="322" t="str">
        <x:v>filing</x:v>
      </x:c>
      <x:c r="D6" s="322" t="str">
        <x:v>SEC / Datadog</x:v>
      </x:c>
      <x:c r="E6" s="322" t="str">
        <x:v>FY2018, FY2019</x:v>
      </x:c>
      <x:c r="F6" s="323" t="str">
        <x:v>2021-03-01</x:v>
      </x:c>
      <x:c r="G6" s="323" t="str">
        <x:v>2026-07-31</x:v>
      </x:c>
      <x:c r="H6" s="324" t="str">
        <x:v>https://www.sec.gov/Archives/edgar/data/1561550/000156459021009770/0001564590-21-009770-index.html</x:v>
      </x:c>
      <x:c r="I6" s="322" t="str">
        <x:v>fact_source_reported</x:v>
      </x:c>
      <x:c r="J6" s="322" t="str">
        <x:v>High</x:v>
      </x:c>
    </x:row>
    <x:row r="7">
      <x:c r="A7" s="321" t="str">
        <x:v>SRC-003</x:v>
      </x:c>
      <x:c r="B7" s="322" t="str">
        <x:v>Datadog 10-K 0001561550-22-000009</x:v>
      </x:c>
      <x:c r="C7" s="322" t="str">
        <x:v>filing</x:v>
      </x:c>
      <x:c r="D7" s="322" t="str">
        <x:v>SEC / Datadog</x:v>
      </x:c>
      <x:c r="E7" s="322" t="str">
        <x:v>FY2019, FY2020</x:v>
      </x:c>
      <x:c r="F7" s="323" t="str">
        <x:v>2022-02-25</x:v>
      </x:c>
      <x:c r="G7" s="323" t="str">
        <x:v>2026-07-31</x:v>
      </x:c>
      <x:c r="H7" s="324" t="str">
        <x:v>https://www.sec.gov/Archives/edgar/data/1561550/000156155022000009/0001561550-22-000009-index.html</x:v>
      </x:c>
      <x:c r="I7" s="322" t="str">
        <x:v>fact_source_reported</x:v>
      </x:c>
      <x:c r="J7" s="322" t="str">
        <x:v>High</x:v>
      </x:c>
    </x:row>
    <x:row r="8">
      <x:c r="A8" s="321" t="str">
        <x:v>SRC-004</x:v>
      </x:c>
      <x:c r="B8" s="322" t="str">
        <x:v>Datadog 10-K 0001561550-23-000006</x:v>
      </x:c>
      <x:c r="C8" s="322" t="str">
        <x:v>filing</x:v>
      </x:c>
      <x:c r="D8" s="322" t="str">
        <x:v>SEC / Datadog</x:v>
      </x:c>
      <x:c r="E8" s="322" t="str">
        <x:v>FY2019, FY2020, FY2021</x:v>
      </x:c>
      <x:c r="F8" s="323" t="str">
        <x:v>2023-02-24</x:v>
      </x:c>
      <x:c r="G8" s="323" t="str">
        <x:v>2026-07-31</x:v>
      </x:c>
      <x:c r="H8" s="324" t="str">
        <x:v>https://www.sec.gov/Archives/edgar/data/1561550/000156155023000006/0001561550-23-000006-index.html</x:v>
      </x:c>
      <x:c r="I8" s="322" t="str">
        <x:v>fact_source_reported</x:v>
      </x:c>
      <x:c r="J8" s="322" t="str">
        <x:v>High</x:v>
      </x:c>
    </x:row>
    <x:row r="9">
      <x:c r="A9" s="321" t="str">
        <x:v>SRC-005</x:v>
      </x:c>
      <x:c r="B9" s="322" t="str">
        <x:v>Datadog 10-K 0001561550-24-000009</x:v>
      </x:c>
      <x:c r="C9" s="322" t="str">
        <x:v>filing</x:v>
      </x:c>
      <x:c r="D9" s="322" t="str">
        <x:v>SEC / Datadog</x:v>
      </x:c>
      <x:c r="E9" s="322" t="str">
        <x:v>FY2020, FY2021, FY2022</x:v>
      </x:c>
      <x:c r="F9" s="323" t="str">
        <x:v>2024-02-23</x:v>
      </x:c>
      <x:c r="G9" s="323" t="str">
        <x:v>2026-07-31</x:v>
      </x:c>
      <x:c r="H9" s="324" t="str">
        <x:v>https://www.sec.gov/Archives/edgar/data/1561550/000156155024000009/0001561550-24-000009-index.html</x:v>
      </x:c>
      <x:c r="I9" s="322" t="str">
        <x:v>fact_source_reported</x:v>
      </x:c>
      <x:c r="J9" s="322" t="str">
        <x:v>High</x:v>
      </x:c>
    </x:row>
    <x:row r="10">
      <x:c r="A10" s="321" t="str">
        <x:v>SRC-006</x:v>
      </x:c>
      <x:c r="B10" s="322" t="str">
        <x:v>Datadog 10-K 0001561550-25-000025</x:v>
      </x:c>
      <x:c r="C10" s="322" t="str">
        <x:v>filing</x:v>
      </x:c>
      <x:c r="D10" s="322" t="str">
        <x:v>SEC / Datadog</x:v>
      </x:c>
      <x:c r="E10" s="322" t="str">
        <x:v>FY2021, FY2022, FY2023</x:v>
      </x:c>
      <x:c r="F10" s="323" t="str">
        <x:v>2025-02-20</x:v>
      </x:c>
      <x:c r="G10" s="323" t="str">
        <x:v>2026-07-31</x:v>
      </x:c>
      <x:c r="H10" s="324" t="str">
        <x:v>https://www.sec.gov/Archives/edgar/data/1561550/000156155025000025/0001561550-25-000025-index.html</x:v>
      </x:c>
      <x:c r="I10" s="322" t="str">
        <x:v>fact_source_reported</x:v>
      </x:c>
      <x:c r="J10" s="322" t="str">
        <x:v>High</x:v>
      </x:c>
    </x:row>
    <x:row r="11">
      <x:c r="A11" s="321" t="str">
        <x:v>SRC-007</x:v>
      </x:c>
      <x:c r="B11" s="322" t="str">
        <x:v>Datadog 10-K 0001628280-26-008819</x:v>
      </x:c>
      <x:c r="C11" s="322" t="str">
        <x:v>filing</x:v>
      </x:c>
      <x:c r="D11" s="322" t="str">
        <x:v>SEC / Datadog</x:v>
      </x:c>
      <x:c r="E11" s="322" t="str">
        <x:v>FY2022, FY2023, FY2024, FY2025</x:v>
      </x:c>
      <x:c r="F11" s="323" t="str">
        <x:v>2026-02-18</x:v>
      </x:c>
      <x:c r="G11" s="323" t="str">
        <x:v>2026-07-31</x:v>
      </x:c>
      <x:c r="H11" s="324" t="str">
        <x:v>https://www.sec.gov/Archives/edgar/data/1561550/000162828026008819/0001628280-26-008819-index.html</x:v>
      </x:c>
      <x:c r="I11" s="322" t="str">
        <x:v>fact_source_reported</x:v>
      </x:c>
      <x:c r="J11" s="322" t="str">
        <x:v>High</x:v>
      </x:c>
    </x:row>
    <x:row r="12">
      <x:c r="A12" s="321" t="str">
        <x:v>SRC-008</x:v>
      </x:c>
      <x:c r="B12" s="322" t="str">
        <x:v>Datadog 10-Q 0001628280-26-032328</x:v>
      </x:c>
      <x:c r="C12" s="322" t="str">
        <x:v>filing</x:v>
      </x:c>
      <x:c r="D12" s="322" t="str">
        <x:v>SEC / Datadog</x:v>
      </x:c>
      <x:c r="E12" s="322" t="str">
        <x:v>FY2024, FY2025, Q1 2025, Q1 2026</x:v>
      </x:c>
      <x:c r="F12" s="323" t="str">
        <x:v>2026-05-07</x:v>
      </x:c>
      <x:c r="G12" s="323" t="str">
        <x:v>2026-07-31</x:v>
      </x:c>
      <x:c r="H12" s="324" t="str">
        <x:v>https://www.sec.gov/Archives/edgar/data/1561550/000162828026032328/0001628280-26-032328-index.html</x:v>
      </x:c>
      <x:c r="I12" s="322" t="str">
        <x:v>fact_source_reported</x:v>
      </x:c>
      <x:c r="J12" s="322" t="str">
        <x:v>High</x:v>
      </x:c>
    </x:row>
    <x:row r="13">
      <x:c r="A13" s="321" t="str">
        <x:v>SRC-009</x:v>
      </x:c>
      <x:c r="B13" s="322" t="str">
        <x:v>SEC Companyfacts API — Datadog CIK 1561550</x:v>
      </x:c>
      <x:c r="C13" s="322" t="str">
        <x:v>web</x:v>
      </x:c>
      <x:c r="D13" s="322" t="str">
        <x:v>SEC</x:v>
      </x:c>
      <x:c r="E13" s="322" t="str">
        <x:v>FY2017–Q1 2026</x:v>
      </x:c>
      <x:c r="F13" s="323" t="str">
        <x:v>2026-05-07 latest filing used</x:v>
      </x:c>
      <x:c r="G13" s="323" t="str">
        <x:v>2026-07-31</x:v>
      </x:c>
      <x:c r="H13" s="324" t="str">
        <x:v>https://data.sec.gov/api/xbrl/companyfacts/CIK0001561550.json</x:v>
      </x:c>
      <x:c r="I13" s="322" t="str">
        <x:v>fact_source_reported</x:v>
      </x:c>
      <x:c r="J13" s="322" t="str">
        <x:v>High</x:v>
      </x:c>
    </x:row>
    <x:row r="14">
      <x:c r="A14" s="321"/>
      <x:c r="B14" s="322"/>
      <x:c r="C14" s="322"/>
      <x:c r="D14" s="322"/>
      <x:c r="E14" s="322"/>
      <x:c r="F14" s="322"/>
      <x:c r="G14" s="322"/>
      <x:c r="H14" s="322"/>
      <x:c r="I14" s="322"/>
      <x:c r="J14" s="322"/>
    </x:row>
    <x:row r="15">
      <x:c r="A15" s="321"/>
      <x:c r="B15" s="322"/>
      <x:c r="C15" s="322"/>
      <x:c r="D15" s="322"/>
      <x:c r="E15" s="322"/>
      <x:c r="F15" s="322"/>
      <x:c r="G15" s="322"/>
      <x:c r="H15" s="322"/>
      <x:c r="I15" s="322"/>
      <x:c r="J15" s="322"/>
    </x:row>
    <x:row r="16" ht="22" customHeight="1">
      <x:c r="A16" s="325" t="str">
        <x:v>Assumptions Register</x:v>
      </x:c>
      <x:c r="B16" s="326"/>
      <x:c r="C16" s="326"/>
      <x:c r="D16" s="326"/>
      <x:c r="E16" s="326"/>
      <x:c r="F16" s="326"/>
      <x:c r="G16" s="326"/>
      <x:c r="H16" s="326"/>
      <x:c r="I16" s="326"/>
      <x:c r="J16" s="326"/>
    </x:row>
    <x:row r="17">
      <x:c r="A17" s="318" t="str">
        <x:v>ID</x:v>
      </x:c>
      <x:c r="B17" s="327" t="str">
        <x:v>Assumption</x:v>
      </x:c>
      <x:c r="C17" s="327" t="str">
        <x:v>Owner</x:v>
      </x:c>
      <x:c r="D17" s="327" t="str">
        <x:v>Rationale</x:v>
      </x:c>
      <x:c r="E17" s="327" t="str">
        <x:v>Affected outputs</x:v>
      </x:c>
      <x:c r="F17" s="327" t="str">
        <x:v>Evidence label</x:v>
      </x:c>
      <x:c r="G17" s="328" t="str">
        <x:v>Confidence</x:v>
      </x:c>
      <x:c r="H17" s="322"/>
      <x:c r="I17" s="322"/>
      <x:c r="J17" s="322"/>
    </x:row>
    <x:row r="18">
      <x:c r="A18" s="321" t="str">
        <x:v>ASM-001</x:v>
      </x:c>
      <x:c r="B18" s="322" t="str">
        <x:v>Operating cash floor = 2% of revenue</x:v>
      </x:c>
      <x:c r="C18" s="322" t="str">
        <x:v>Analyst</x:v>
      </x:c>
      <x:c r="D18" s="322" t="str">
        <x:v>Avoid treating every dollar of cash as excess.</x:v>
      </x:c>
      <x:c r="E18" s="322" t="str">
        <x:v>Primary Operating CE</x:v>
      </x:c>
      <x:c r="F18" s="322" t="str">
        <x:v>assumption_inferred</x:v>
      </x:c>
      <x:c r="G18" s="322" t="str">
        <x:v>Medium</x:v>
      </x:c>
      <x:c r="H18" s="322"/>
      <x:c r="I18" s="322"/>
      <x:c r="J18" s="322"/>
    </x:row>
    <x:row r="19">
      <x:c r="A19" s="321" t="str">
        <x:v>ASM-002</x:v>
      </x:c>
      <x:c r="B19" s="322" t="str">
        <x:v>R&amp;D useful life = 4 years</x:v>
      </x:c>
      <x:c r="C19" s="322" t="str">
        <x:v>Analyst</x:v>
      </x:c>
      <x:c r="D19" s="322" t="str">
        <x:v>Base case for SaaS product development; sensitivity available.</x:v>
      </x:c>
      <x:c r="E19" s="322" t="str">
        <x:v>Research asset and adjusted CE</x:v>
      </x:c>
      <x:c r="F19" s="322" t="str">
        <x:v>assumption_inferred</x:v>
      </x:c>
      <x:c r="G19" s="322" t="str">
        <x:v>Medium</x:v>
      </x:c>
      <x:c r="H19" s="322"/>
      <x:c r="I19" s="322"/>
      <x:c r="J19" s="322"/>
    </x:row>
    <x:row r="20">
      <x:c r="A20" s="321" t="str">
        <x:v>ASM-003</x:v>
      </x:c>
      <x:c r="B20" s="322" t="str">
        <x:v>Operating leases treated as financing</x:v>
      </x:c>
      <x:c r="C20" s="322" t="str">
        <x:v>Analyst</x:v>
      </x:c>
      <x:c r="D20" s="322" t="str">
        <x:v>Maintains comparability between leased and owned operating capacity.</x:v>
      </x:c>
      <x:c r="E20" s="322" t="str">
        <x:v>Operating CE</x:v>
      </x:c>
      <x:c r="F20" s="322" t="str">
        <x:v>analyst_adjusted</x:v>
      </x:c>
      <x:c r="G20" s="322" t="str">
        <x:v>High</x:v>
      </x:c>
      <x:c r="H20" s="322"/>
      <x:c r="I20" s="322"/>
      <x:c r="J20" s="322"/>
    </x:row>
    <x:row r="21">
      <x:c r="A21" s="321" t="str">
        <x:v>ASM-004</x:v>
      </x:c>
      <x:c r="B21" s="322" t="str">
        <x:v>Deferred revenue treated as customer financing</x:v>
      </x:c>
      <x:c r="C21" s="322" t="str">
        <x:v>Analyst</x:v>
      </x:c>
      <x:c r="D21" s="322" t="str">
        <x:v>Non-interest-bearing operating liability from customer prepayments.</x:v>
      </x:c>
      <x:c r="E21" s="322" t="str">
        <x:v>CE before customer financing</x:v>
      </x:c>
      <x:c r="F21" s="322" t="str">
        <x:v>analyst_interpretation</x:v>
      </x:c>
      <x:c r="G21" s="322" t="str">
        <x:v>High</x:v>
      </x:c>
      <x:c r="H21" s="322"/>
      <x:c r="I21" s="322"/>
      <x:c r="J21" s="322"/>
    </x:row>
    <x:row r="22">
      <x:c r="A22" s="321" t="str">
        <x:v>ASM-005</x:v>
      </x:c>
      <x:c r="B22" s="322" t="str">
        <x:v>Normalized tax rate = 21%</x:v>
      </x:c>
      <x:c r="C22" s="322" t="str">
        <x:v>Analyst</x:v>
      </x:c>
      <x:c r="D22" s="322" t="str">
        <x:v>Estimates normalized NOPAT from R&amp;D-adjusted EBIT; not the reported effective tax rate.</x:v>
      </x:c>
      <x:c r="E22" s="322" t="str">
        <x:v>R&amp;D-adjusted ROIC</x:v>
      </x:c>
      <x:c r="F22" s="322" t="str">
        <x:v>assumption_inferred</x:v>
      </x:c>
      <x:c r="G22" s="322" t="str">
        <x:v>Medium</x:v>
      </x:c>
      <x:c r="H22" s="322"/>
      <x:c r="I22" s="322"/>
      <x:c r="J22" s="322"/>
    </x:row>
    <x:row r="23">
      <x:c r="A23" s="321"/>
      <x:c r="B23" s="322"/>
      <x:c r="C23" s="322"/>
      <x:c r="D23" s="322"/>
      <x:c r="E23" s="322"/>
      <x:c r="F23" s="322"/>
      <x:c r="G23" s="322"/>
      <x:c r="H23" s="322"/>
      <x:c r="I23" s="322"/>
      <x:c r="J23" s="322"/>
    </x:row>
    <x:row r="24">
      <x:c r="A24" s="321"/>
      <x:c r="B24" s="322"/>
      <x:c r="C24" s="322"/>
      <x:c r="D24" s="322"/>
      <x:c r="E24" s="322"/>
      <x:c r="F24" s="322"/>
      <x:c r="G24" s="322"/>
      <x:c r="H24" s="322"/>
      <x:c r="I24" s="322"/>
      <x:c r="J24" s="322"/>
    </x:row>
    <x:row r="25" ht="22" customHeight="1">
      <x:c r="A25" s="325" t="str">
        <x:v>QA Flags</x:v>
      </x:c>
      <x:c r="B25" s="326"/>
      <x:c r="C25" s="326"/>
      <x:c r="D25" s="326"/>
      <x:c r="E25" s="326"/>
      <x:c r="F25" s="326"/>
      <x:c r="G25" s="326"/>
      <x:c r="H25" s="326"/>
      <x:c r="I25" s="326"/>
      <x:c r="J25" s="326"/>
    </x:row>
    <x:row r="26">
      <x:c r="A26" s="318" t="str">
        <x:v>Flag ID</x:v>
      </x:c>
      <x:c r="B26" s="327" t="str">
        <x:v>Severity</x:v>
      </x:c>
      <x:c r="C26" s="327" t="str">
        <x:v>Entity</x:v>
      </x:c>
      <x:c r="D26" s="327" t="str">
        <x:v>Period</x:v>
      </x:c>
      <x:c r="E26" s="327" t="str">
        <x:v>Area</x:v>
      </x:c>
      <x:c r="F26" s="327" t="str">
        <x:v>Issue</x:v>
      </x:c>
      <x:c r="G26" s="327" t="str">
        <x:v>Impact</x:v>
      </x:c>
      <x:c r="H26" s="327" t="str">
        <x:v>Recommended fix</x:v>
      </x:c>
      <x:c r="I26" s="327" t="str">
        <x:v>Source ID</x:v>
      </x:c>
      <x:c r="J26" s="328" t="str">
        <x:v>Status</x:v>
      </x:c>
    </x:row>
    <x:row r="27" ht="48" customHeight="1">
      <x:c r="A27" s="321" t="str">
        <x:v>FLAG-001</x:v>
      </x:c>
      <x:c r="B27" s="322" t="str">
        <x:v>medium</x:v>
      </x:c>
      <x:c r="C27" s="322" t="str">
        <x:v>Datadog</x:v>
      </x:c>
      <x:c r="D27" s="322" t="str">
        <x:v>FY2019–FY2020</x:v>
      </x:c>
      <x:c r="E27" s="322" t="str">
        <x:v>R&amp;D adjustment</x:v>
      </x:c>
      <x:c r="F27" s="322" t="str">
        <x:v>Pre-2017 R&amp;D history is unavailable in Companyfacts.</x:v>
      </x:c>
      <x:c r="G27" s="322" t="str">
        <x:v>Early research assets would be understated.</x:v>
      </x:c>
      <x:c r="H27" s="322" t="str">
        <x:v>Use R&amp;D-adjusted outputs from FY2021 onward.</x:v>
      </x:c>
      <x:c r="I27" s="322" t="str">
        <x:v>SRC-009</x:v>
      </x:c>
      <x:c r="J27" s="322" t="str">
        <x:v>mitigated</x:v>
      </x:c>
    </x:row>
    <x:row r="28" ht="48" customHeight="1">
      <x:c r="A28" s="321" t="str">
        <x:v>FLAG-002</x:v>
      </x:c>
      <x:c r="B28" s="322" t="str">
        <x:v>low</x:v>
      </x:c>
      <x:c r="C28" s="322" t="str">
        <x:v>Datadog</x:v>
      </x:c>
      <x:c r="D28" s="322" t="str">
        <x:v>Q1 2026</x:v>
      </x:c>
      <x:c r="E28" s="322" t="str">
        <x:v>ROCE / ROIC</x:v>
      </x:c>
      <x:c r="F28" s="322" t="str">
        <x:v>Quarter-end balance is available but quarterly returns would be non-comparable with annual returns.</x:v>
      </x:c>
      <x:c r="G28" s="322" t="str">
        <x:v>Avoids misleading annualization.</x:v>
      </x:c>
      <x:c r="H28" s="322" t="str">
        <x:v>Q1 2026 ROCE and ROIC intentionally left blank.</x:v>
      </x:c>
      <x:c r="I28" s="322" t="str">
        <x:v>SRC-008</x:v>
      </x:c>
      <x:c r="J28" s="322" t="str">
        <x:v>open/disclosed</x:v>
      </x:c>
    </x:row>
    <x:row r="29" ht="48" customHeight="1">
      <x:c r="A29" s="321" t="str">
        <x:v>FLAG-003</x:v>
      </x:c>
      <x:c r="B29" s="322" t="str">
        <x:v>medium</x:v>
      </x:c>
      <x:c r="C29" s="322" t="str">
        <x:v>Datadog</x:v>
      </x:c>
      <x:c r="D29" s="322" t="str">
        <x:v>All periods</x:v>
      </x:c>
      <x:c r="E29" s="322" t="str">
        <x:v>Cash classification</x:v>
      </x:c>
      <x:c r="F29" s="322" t="str">
        <x:v>Required operating cash is an analyst assumption.</x:v>
      </x:c>
      <x:c r="G29" s="322" t="str">
        <x:v>Operating CE is sensitive because the net operating capital base is small.</x:v>
      </x:c>
      <x:c r="H29" s="322" t="str">
        <x:v>Review 0%–5% revenue cash-floor sensitivity.</x:v>
      </x:c>
      <x:c r="I29" s="322" t="str">
        <x:v>SRC-009</x:v>
      </x:c>
      <x:c r="J29" s="322" t="str">
        <x:v>open/disclosed</x:v>
      </x:c>
    </x:row>
    <x:row r="30" ht="48" customHeight="1">
      <x:c r="A30" s="321" t="str">
        <x:v>FLAG-004</x:v>
      </x:c>
      <x:c r="B30" s="322" t="str">
        <x:v>low</x:v>
      </x:c>
      <x:c r="C30" s="322" t="str">
        <x:v>Datadog</x:v>
      </x:c>
      <x:c r="D30" s="322" t="str">
        <x:v>Q1 2026</x:v>
      </x:c>
      <x:c r="E30" s="322" t="str">
        <x:v>R&amp;D adjustment</x:v>
      </x:c>
      <x:c r="F30" s="322" t="str">
        <x:v>Quarter roll-forward allocates annual R&amp;D vintages using straight-line period-end convention.</x:v>
      </x:c>
      <x:c r="G30" s="322" t="str">
        <x:v>Latest research asset is an approximation, not a reported balance.</x:v>
      </x:c>
      <x:c r="H30" s="322" t="str">
        <x:v>Use quarterly vintage history for a higher-precision refresh.</x:v>
      </x:c>
      <x:c r="I30" s="322" t="str">
        <x:v>SRC-009</x:v>
      </x:c>
      <x:c r="J30" s="322" t="str">
        <x:v>open/disclosed</x:v>
      </x:c>
    </x:row>
    <x:row r="31" ht="48" customHeight="1">
      <x:c r="A31" s="321" t="str">
        <x:v>FLAG-005</x:v>
      </x:c>
      <x:c r="B31" s="322" t="str">
        <x:v>medium</x:v>
      </x:c>
      <x:c r="C31" s="322" t="str">
        <x:v>Datadog</x:v>
      </x:c>
      <x:c r="D31" s="322" t="str">
        <x:v>FY2022–FY2025</x:v>
      </x:c>
      <x:c r="E31" s="322" t="str">
        <x:v>ROIC</x:v>
      </x:c>
      <x:c r="F31" s="322" t="str">
        <x:v>Normalized tax rate is an analyst input rather than Datadog's reported effective tax rate.</x:v>
      </x:c>
      <x:c r="G31" s="322" t="str">
        <x:v>ROIC changes one-for-one with the after-tax EBIT factor.</x:v>
      </x:c>
      <x:c r="H31" s="322" t="str">
        <x:v>Replace 21% with the long-run marginal cash tax rate used in the investment case.</x:v>
      </x:c>
      <x:c r="I31" s="322" t="str">
        <x:v>SRC-009</x:v>
      </x:c>
      <x:c r="J31" s="322" t="str">
        <x:v>open/disclosed</x:v>
      </x:c>
    </x:row>
  </x:sheetData>
  <x:mergeCells>
    <x:mergeCell ref="A1:J1"/>
    <x:mergeCell ref="A3:J3"/>
    <x:mergeCell ref="A16:J16"/>
    <x:mergeCell ref="A25:J2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16" hidden="0" customWidth="1"/>
    <x:col min="5" max="5" width="14" hidden="0" customWidth="1"/>
    <x:col min="6" max="6" width="12" hidden="0" customWidth="1"/>
    <x:col min="7" max="7" width="12" hidden="0" customWidth="1"/>
    <x:col min="8" max="8" width="58" hidden="0" customWidth="1"/>
  </x:cols>
  <x:sheetData>
    <x:row r="1" ht="34" customHeight="1">
      <x:c r="A1" s="227" t="str">
        <x:v>Model Checks</x:v>
      </x:c>
      <x:c r="B1" s="227"/>
      <x:c r="C1" s="227"/>
      <x:c r="D1" s="227"/>
      <x:c r="E1" s="227"/>
      <x:c r="F1" s="227"/>
      <x:c r="G1" s="227"/>
      <x:c r="H1" s="227"/>
    </x:row>
    <x:row r="2">
      <x:c r="A2" s="269" t="str">
        <x:v>Overall status</x:v>
      </x:c>
      <x:c r="B2" s="269" t="str">
        <x:f>IF(COUNTIF(G6:G50,"CHECK")=0,"OK","CHECK")</x:f>
        <x:v>OK</x:v>
      </x:c>
      <x:c r="C2" s="269"/>
      <x:c r="D2" s="269"/>
      <x:c r="E2" s="269"/>
      <x:c r="F2" s="269"/>
      <x:c r="G2" s="269"/>
      <x:c r="H2" s="269"/>
    </x:row>
    <x:row r="3">
      <x:c r="A3" s="269"/>
      <x:c r="B3" s="269"/>
      <x:c r="C3" s="269"/>
      <x:c r="D3" s="269"/>
      <x:c r="E3" s="269"/>
      <x:c r="F3" s="269"/>
      <x:c r="G3" s="269"/>
      <x:c r="H3" s="269"/>
    </x:row>
    <x:row r="4">
      <x:c r="A4" s="259" t="str">
        <x:v>Check ID</x:v>
      </x:c>
      <x:c r="B4" s="260" t="str">
        <x:v>Area</x:v>
      </x:c>
      <x:c r="C4" s="260" t="str">
        <x:v>Actual</x:v>
      </x:c>
      <x:c r="D4" s="260" t="str">
        <x:v>Expected</x:v>
      </x:c>
      <x:c r="E4" s="260" t="str">
        <x:v>Difference</x:v>
      </x:c>
      <x:c r="F4" s="260" t="str">
        <x:v>Tolerance</x:v>
      </x:c>
      <x:c r="G4" s="260" t="str">
        <x:v>Status</x:v>
      </x:c>
      <x:c r="H4" s="261" t="str">
        <x:v>Notes</x:v>
      </x:c>
    </x:row>
    <x:row r="5">
      <x:c r="A5" s="269"/>
      <x:c r="B5" s="269"/>
      <x:c r="C5" s="269"/>
      <x:c r="D5" s="269"/>
      <x:c r="E5" s="269"/>
      <x:c r="F5" s="269"/>
      <x:c r="G5" s="269"/>
      <x:c r="H5" s="269"/>
    </x:row>
    <x:row r="6">
      <x:c r="A6" s="269" t="str">
        <x:v>BS-FY2019</x:v>
      </x:c>
      <x:c r="B6" s="269" t="str">
        <x:v>Balance sheet</x:v>
      </x:c>
      <x:c r="C6" s="329" t="n">
        <x:f>'Source Data'!C12</x:f>
        <x:v>1038.041</x:v>
      </x:c>
      <x:c r="D6" s="329" t="n">
        <x:f>'Source Data'!C13+'Source Data'!C16</x:f>
        <x:v>1038.041</x:v>
      </x:c>
      <x:c r="E6" s="329" t="n">
        <x:f>C6-D6</x:f>
        <x:v>0</x:v>
      </x:c>
      <x:c r="F6" s="329" t="n">
        <x:v>0.1</x:v>
      </x:c>
      <x:c r="G6" s="305" t="str">
        <x:f>IF(ABS(E6)&lt;=F6,"OK","CHECK")</x:f>
        <x:v>OK</x:v>
      </x:c>
      <x:c r="H6" s="271" t="str">
        <x:v>Total assets should equal total liabilities plus equity.</x:v>
      </x:c>
    </x:row>
    <x:row r="7">
      <x:c r="A7" s="269" t="str">
        <x:v>RCE-FY2019</x:v>
      </x:c>
      <x:c r="B7" s="269" t="str">
        <x:v>Reported CE</x:v>
      </x:c>
      <x:c r="C7" s="329" t="n">
        <x:f>'Capital Employed'!C11</x:f>
        <x:v>837.8019999999999</x:v>
      </x:c>
      <x:c r="D7" s="329" t="n">
        <x:f>'Source Data'!C12-'Source Data'!C15</x:f>
        <x:v>837.8019999999999</x:v>
      </x:c>
      <x:c r="E7" s="329" t="n">
        <x:f>C7-D7</x:f>
        <x:v>0</x:v>
      </x:c>
      <x:c r="F7" s="329" t="n">
        <x:v>0.1</x:v>
      </x:c>
      <x:c r="G7" s="305" t="str">
        <x:f>IF(ABS(E7)&lt;=F7,"OK","CHECK")</x:f>
        <x:v>OK</x:v>
      </x:c>
      <x:c r="H7" s="271" t="str">
        <x:v>Reported CE identity.</x:v>
      </x:c>
    </x:row>
    <x:row r="8">
      <x:c r="A8" s="269" t="str">
        <x:v>OCE-FY2019</x:v>
      </x:c>
      <x:c r="B8" s="269" t="str">
        <x:v>Operating CE</x:v>
      </x:c>
      <x:c r="C8" s="329" t="n">
        <x:f>'Capital Employed'!C22</x:f>
        <x:v>76.05160000000002</x:v>
      </x:c>
      <x:c r="D8" s="329" t="n">
        <x:f>SUM('Capital Employed'!C14:C16)-'Capital Employed'!C17-'Capital Employed'!C18+'Capital Employed'!C21</x:f>
        <x:v>76.05160000000002</x:v>
      </x:c>
      <x:c r="E8" s="329" t="n">
        <x:f>C8-D8</x:f>
        <x:v>0</x:v>
      </x:c>
      <x:c r="F8" s="329" t="n">
        <x:v>0.1</x:v>
      </x:c>
      <x:c r="G8" s="305" t="str">
        <x:f>IF(ABS(E8)&lt;=F8,"OK","CHECK")</x:f>
        <x:v>OK</x:v>
      </x:c>
      <x:c r="H8" s="271" t="str">
        <x:v>Financing bridge including retained operating cash.</x:v>
      </x:c>
    </x:row>
    <x:row r="9">
      <x:c r="A9" s="269" t="str">
        <x:v>BS-FY2020</x:v>
      </x:c>
      <x:c r="B9" s="269" t="str">
        <x:v>Balance sheet</x:v>
      </x:c>
      <x:c r="C9" s="329" t="n">
        <x:f>'Source Data'!D12</x:f>
        <x:v>1890.285</x:v>
      </x:c>
      <x:c r="D9" s="329" t="n">
        <x:f>'Source Data'!D13+'Source Data'!D16</x:f>
        <x:v>1890.2849999999999</x:v>
      </x:c>
      <x:c r="E9" s="329" t="n">
        <x:f>C9-D9</x:f>
        <x:v>2.2737367544323206e-13</x:v>
      </x:c>
      <x:c r="F9" s="329" t="n">
        <x:v>0.1</x:v>
      </x:c>
      <x:c r="G9" s="305" t="str">
        <x:f>IF(ABS(E9)&lt;=F9,"OK","CHECK")</x:f>
        <x:v>OK</x:v>
      </x:c>
      <x:c r="H9" s="271" t="str">
        <x:v>Total assets should equal total liabilities plus equity.</x:v>
      </x:c>
    </x:row>
    <x:row r="10">
      <x:c r="A10" s="269" t="str">
        <x:v>RCE-FY2020</x:v>
      </x:c>
      <x:c r="B10" s="269" t="str">
        <x:v>Reported CE</x:v>
      </x:c>
      <x:c r="C10" s="329" t="n">
        <x:f>'Capital Employed'!D11</x:f>
        <x:v>1592.441</x:v>
      </x:c>
      <x:c r="D10" s="329" t="n">
        <x:f>'Source Data'!D12-'Source Data'!D15</x:f>
        <x:v>1592.441</x:v>
      </x:c>
      <x:c r="E10" s="329" t="n">
        <x:f>C10-D10</x:f>
        <x:v>0</x:v>
      </x:c>
      <x:c r="F10" s="329" t="n">
        <x:v>0.1</x:v>
      </x:c>
      <x:c r="G10" s="305" t="str">
        <x:f>IF(ABS(E10)&lt;=F10,"OK","CHECK")</x:f>
        <x:v>OK</x:v>
      </x:c>
      <x:c r="H10" s="271" t="str">
        <x:v>Reported CE identity.</x:v>
      </x:c>
    </x:row>
    <x:row r="11">
      <x:c r="A11" s="269" t="str">
        <x:v>OCE-FY2020</x:v>
      </x:c>
      <x:c r="B11" s="269" t="str">
        <x:v>Operating CE</x:v>
      </x:c>
      <x:c r="C11" s="329" t="n">
        <x:f>'Capital Employed'!D22</x:f>
        <x:v>95.66532000000024</x:v>
      </x:c>
      <x:c r="D11" s="329" t="n">
        <x:f>SUM('Capital Employed'!D14:D16)-'Capital Employed'!D17-'Capital Employed'!D18+'Capital Employed'!D21</x:f>
        <x:v>95.66532000000024</x:v>
      </x:c>
      <x:c r="E11" s="329" t="n">
        <x:f>C11-D11</x:f>
        <x:v>0</x:v>
      </x:c>
      <x:c r="F11" s="329" t="n">
        <x:v>0.1</x:v>
      </x:c>
      <x:c r="G11" s="305" t="str">
        <x:f>IF(ABS(E11)&lt;=F11,"OK","CHECK")</x:f>
        <x:v>OK</x:v>
      </x:c>
      <x:c r="H11" s="271" t="str">
        <x:v>Financing bridge including retained operating cash.</x:v>
      </x:c>
    </x:row>
    <x:row r="12">
      <x:c r="A12" s="269" t="str">
        <x:v>BS-FY2021</x:v>
      </x:c>
      <x:c r="B12" s="269" t="str">
        <x:v>Balance sheet</x:v>
      </x:c>
      <x:c r="C12" s="329" t="n">
        <x:f>'Source Data'!E12</x:f>
        <x:v>2380.794</x:v>
      </x:c>
      <x:c r="D12" s="329" t="n">
        <x:f>'Source Data'!E13+'Source Data'!E16</x:f>
        <x:v>2380.794</x:v>
      </x:c>
      <x:c r="E12" s="329" t="n">
        <x:f>C12-D12</x:f>
        <x:v>0</x:v>
      </x:c>
      <x:c r="F12" s="329" t="n">
        <x:v>0.1</x:v>
      </x:c>
      <x:c r="G12" s="305" t="str">
        <x:f>IF(ABS(E12)&lt;=F12,"OK","CHECK")</x:f>
        <x:v>OK</x:v>
      </x:c>
      <x:c r="H12" s="271" t="str">
        <x:v>Total assets should equal total liabilities plus equity.</x:v>
      </x:c>
    </x:row>
    <x:row r="13">
      <x:c r="A13" s="269" t="str">
        <x:v>RCE-FY2021</x:v>
      </x:c>
      <x:c r="B13" s="269" t="str">
        <x:v>Reported CE</x:v>
      </x:c>
      <x:c r="C13" s="329" t="n">
        <x:f>'Capital Employed'!E11</x:f>
        <x:v>1852.098</x:v>
      </x:c>
      <x:c r="D13" s="329" t="n">
        <x:f>'Source Data'!E12-'Source Data'!E15</x:f>
        <x:v>1852.098</x:v>
      </x:c>
      <x:c r="E13" s="329" t="n">
        <x:f>C13-D13</x:f>
        <x:v>0</x:v>
      </x:c>
      <x:c r="F13" s="329" t="n">
        <x:v>0.1</x:v>
      </x:c>
      <x:c r="G13" s="305" t="str">
        <x:f>IF(ABS(E13)&lt;=F13,"OK","CHECK")</x:f>
        <x:v>OK</x:v>
      </x:c>
      <x:c r="H13" s="271" t="str">
        <x:v>Reported CE identity.</x:v>
      </x:c>
    </x:row>
    <x:row r="14">
      <x:c r="A14" s="269" t="str">
        <x:v>OCE-FY2021</x:v>
      </x:c>
      <x:c r="B14" s="269" t="str">
        <x:v>Operating CE</x:v>
      </x:c>
      <x:c r="C14" s="329" t="n">
        <x:f>'Capital Employed'!E22</x:f>
        <x:v>315.07767999999993</x:v>
      </x:c>
      <x:c r="D14" s="329" t="n">
        <x:f>SUM('Capital Employed'!E14:E16)-'Capital Employed'!E17-'Capital Employed'!E18+'Capital Employed'!E21</x:f>
        <x:v>315.07767999999993</x:v>
      </x:c>
      <x:c r="E14" s="329" t="n">
        <x:f>C14-D14</x:f>
        <x:v>0</x:v>
      </x:c>
      <x:c r="F14" s="329" t="n">
        <x:v>0.1</x:v>
      </x:c>
      <x:c r="G14" s="305" t="str">
        <x:f>IF(ABS(E14)&lt;=F14,"OK","CHECK")</x:f>
        <x:v>OK</x:v>
      </x:c>
      <x:c r="H14" s="271" t="str">
        <x:v>Financing bridge including retained operating cash.</x:v>
      </x:c>
    </x:row>
    <x:row r="15">
      <x:c r="A15" s="269" t="str">
        <x:v>BS-FY2022</x:v>
      </x:c>
      <x:c r="B15" s="269" t="str">
        <x:v>Balance sheet</x:v>
      </x:c>
      <x:c r="C15" s="329" t="n">
        <x:f>'Source Data'!F12</x:f>
        <x:v>3004.852</x:v>
      </x:c>
      <x:c r="D15" s="329" t="n">
        <x:f>'Source Data'!F13+'Source Data'!F16</x:f>
        <x:v>3004.852</x:v>
      </x:c>
      <x:c r="E15" s="329" t="n">
        <x:f>C15-D15</x:f>
        <x:v>0</x:v>
      </x:c>
      <x:c r="F15" s="329" t="n">
        <x:v>0.1</x:v>
      </x:c>
      <x:c r="G15" s="305" t="str">
        <x:f>IF(ABS(E15)&lt;=F15,"OK","CHECK")</x:f>
        <x:v>OK</x:v>
      </x:c>
      <x:c r="H15" s="271" t="str">
        <x:v>Total assets should equal total liabilities plus equity.</x:v>
      </x:c>
    </x:row>
    <x:row r="16">
      <x:c r="A16" s="269" t="str">
        <x:v>RCE-FY2022</x:v>
      </x:c>
      <x:c r="B16" s="269" t="str">
        <x:v>Reported CE</x:v>
      </x:c>
      <x:c r="C16" s="329" t="n">
        <x:f>'Capital Employed'!F11</x:f>
        <x:v>2245.104</x:v>
      </x:c>
      <x:c r="D16" s="329" t="n">
        <x:f>'Source Data'!F12-'Source Data'!F15</x:f>
        <x:v>2245.104</x:v>
      </x:c>
      <x:c r="E16" s="329" t="n">
        <x:f>C16-D16</x:f>
        <x:v>0</x:v>
      </x:c>
      <x:c r="F16" s="329" t="n">
        <x:v>0.1</x:v>
      </x:c>
      <x:c r="G16" s="305" t="str">
        <x:f>IF(ABS(E16)&lt;=F16,"OK","CHECK")</x:f>
        <x:v>OK</x:v>
      </x:c>
      <x:c r="H16" s="271" t="str">
        <x:v>Reported CE identity.</x:v>
      </x:c>
    </x:row>
    <x:row r="17">
      <x:c r="A17" s="269" t="str">
        <x:v>OCE-FY2022</x:v>
      </x:c>
      <x:c r="B17" s="269" t="str">
        <x:v>Operating CE</x:v>
      </x:c>
      <x:c r="C17" s="329" t="n">
        <x:f>'Capital Employed'!F22</x:f>
        <x:v>397.2019999999998</x:v>
      </x:c>
      <x:c r="D17" s="329" t="n">
        <x:f>SUM('Capital Employed'!F14:F16)-'Capital Employed'!F17-'Capital Employed'!F18+'Capital Employed'!F21</x:f>
        <x:v>397.2019999999998</x:v>
      </x:c>
      <x:c r="E17" s="329" t="n">
        <x:f>C17-D17</x:f>
        <x:v>0</x:v>
      </x:c>
      <x:c r="F17" s="329" t="n">
        <x:v>0.1</x:v>
      </x:c>
      <x:c r="G17" s="305" t="str">
        <x:f>IF(ABS(E17)&lt;=F17,"OK","CHECK")</x:f>
        <x:v>OK</x:v>
      </x:c>
      <x:c r="H17" s="271" t="str">
        <x:v>Financing bridge including retained operating cash.</x:v>
      </x:c>
    </x:row>
    <x:row r="18">
      <x:c r="A18" s="269" t="str">
        <x:v>BS-FY2023</x:v>
      </x:c>
      <x:c r="B18" s="269" t="str">
        <x:v>Balance sheet</x:v>
      </x:c>
      <x:c r="C18" s="329" t="n">
        <x:f>'Source Data'!G12</x:f>
        <x:v>3936.072</x:v>
      </x:c>
      <x:c r="D18" s="329" t="n">
        <x:f>'Source Data'!G13+'Source Data'!G16</x:f>
        <x:v>3936.072</x:v>
      </x:c>
      <x:c r="E18" s="329" t="n">
        <x:f>C18-D18</x:f>
        <x:v>0</x:v>
      </x:c>
      <x:c r="F18" s="329" t="n">
        <x:v>0.1</x:v>
      </x:c>
      <x:c r="G18" s="305" t="str">
        <x:f>IF(ABS(E18)&lt;=F18,"OK","CHECK")</x:f>
        <x:v>OK</x:v>
      </x:c>
      <x:c r="H18" s="271" t="str">
        <x:v>Total assets should equal total liabilities plus equity.</x:v>
      </x:c>
    </x:row>
    <x:row r="19">
      <x:c r="A19" s="269" t="str">
        <x:v>RCE-FY2023</x:v>
      </x:c>
      <x:c r="B19" s="269" t="str">
        <x:v>Reported CE</x:v>
      </x:c>
      <x:c r="C19" s="329" t="n">
        <x:f>'Capital Employed'!G11</x:f>
        <x:v>2933.02</x:v>
      </x:c>
      <x:c r="D19" s="329" t="n">
        <x:f>'Source Data'!G12-'Source Data'!G15</x:f>
        <x:v>2933.02</x:v>
      </x:c>
      <x:c r="E19" s="329" t="n">
        <x:f>C19-D19</x:f>
        <x:v>0</x:v>
      </x:c>
      <x:c r="F19" s="329" t="n">
        <x:v>0.1</x:v>
      </x:c>
      <x:c r="G19" s="305" t="str">
        <x:f>IF(ABS(E19)&lt;=F19,"OK","CHECK")</x:f>
        <x:v>OK</x:v>
      </x:c>
      <x:c r="H19" s="271" t="str">
        <x:v>Reported CE identity.</x:v>
      </x:c>
    </x:row>
    <x:row r="20">
      <x:c r="A20" s="269" t="str">
        <x:v>OCE-FY2023</x:v>
      </x:c>
      <x:c r="B20" s="269" t="str">
        <x:v>Operating CE</x:v>
      </x:c>
      <x:c r="C20" s="329" t="n">
        <x:f>'Capital Employed'!G22</x:f>
        <x:v>387.3601799999997</x:v>
      </x:c>
      <x:c r="D20" s="329" t="n">
        <x:f>SUM('Capital Employed'!G14:G16)-'Capital Employed'!G17-'Capital Employed'!G18+'Capital Employed'!G21</x:f>
        <x:v>387.3601799999997</x:v>
      </x:c>
      <x:c r="E20" s="329" t="n">
        <x:f>C20-D20</x:f>
        <x:v>0</x:v>
      </x:c>
      <x:c r="F20" s="329" t="n">
        <x:v>0.1</x:v>
      </x:c>
      <x:c r="G20" s="305" t="str">
        <x:f>IF(ABS(E20)&lt;=F20,"OK","CHECK")</x:f>
        <x:v>OK</x:v>
      </x:c>
      <x:c r="H20" s="271" t="str">
        <x:v>Financing bridge including retained operating cash.</x:v>
      </x:c>
    </x:row>
    <x:row r="21">
      <x:c r="A21" s="269" t="str">
        <x:v>BS-FY2024</x:v>
      </x:c>
      <x:c r="B21" s="269" t="str">
        <x:v>Balance sheet</x:v>
      </x:c>
      <x:c r="C21" s="329" t="n">
        <x:f>'Source Data'!H12</x:f>
        <x:v>5785.339</x:v>
      </x:c>
      <x:c r="D21" s="329" t="n">
        <x:f>'Source Data'!H13+'Source Data'!H16</x:f>
        <x:v>5785.339</x:v>
      </x:c>
      <x:c r="E21" s="329" t="n">
        <x:f>C21-D21</x:f>
        <x:v>0</x:v>
      </x:c>
      <x:c r="F21" s="329" t="n">
        <x:v>0.1</x:v>
      </x:c>
      <x:c r="G21" s="305" t="str">
        <x:f>IF(ABS(E21)&lt;=F21,"OK","CHECK")</x:f>
        <x:v>OK</x:v>
      </x:c>
      <x:c r="H21" s="271" t="str">
        <x:v>Total assets should equal total liabilities plus equity.</x:v>
      </x:c>
    </x:row>
    <x:row r="22">
      <x:c r="A22" s="269" t="str">
        <x:v>RCE-FY2024</x:v>
      </x:c>
      <x:c r="B22" s="269" t="str">
        <x:v>Reported CE</x:v>
      </x:c>
      <x:c r="C22" s="329" t="n">
        <x:f>'Capital Employed'!H11</x:f>
        <x:v>3922.626</x:v>
      </x:c>
      <x:c r="D22" s="329" t="n">
        <x:f>'Source Data'!H12-'Source Data'!H15</x:f>
        <x:v>3922.626</x:v>
      </x:c>
      <x:c r="E22" s="329" t="n">
        <x:f>C22-D22</x:f>
        <x:v>0</x:v>
      </x:c>
      <x:c r="F22" s="329" t="n">
        <x:v>0.1</x:v>
      </x:c>
      <x:c r="G22" s="305" t="str">
        <x:f>IF(ABS(E22)&lt;=F22,"OK","CHECK")</x:f>
        <x:v>OK</x:v>
      </x:c>
      <x:c r="H22" s="271" t="str">
        <x:v>Reported CE identity.</x:v>
      </x:c>
    </x:row>
    <x:row r="23">
      <x:c r="A23" s="269" t="str">
        <x:v>OCE-FY2024</x:v>
      </x:c>
      <x:c r="B23" s="269" t="str">
        <x:v>Operating CE</x:v>
      </x:c>
      <x:c r="C23" s="329" t="n">
        <x:f>'Capital Employed'!H22</x:f>
        <x:v>421.16949999999946</x:v>
      </x:c>
      <x:c r="D23" s="329" t="n">
        <x:f>SUM('Capital Employed'!H14:H16)-'Capital Employed'!H17-'Capital Employed'!H18+'Capital Employed'!H21</x:f>
        <x:v>421.16949999999946</x:v>
      </x:c>
      <x:c r="E23" s="329" t="n">
        <x:f>C23-D23</x:f>
        <x:v>0</x:v>
      </x:c>
      <x:c r="F23" s="329" t="n">
        <x:v>0.1</x:v>
      </x:c>
      <x:c r="G23" s="305" t="str">
        <x:f>IF(ABS(E23)&lt;=F23,"OK","CHECK")</x:f>
        <x:v>OK</x:v>
      </x:c>
      <x:c r="H23" s="271" t="str">
        <x:v>Financing bridge including retained operating cash.</x:v>
      </x:c>
    </x:row>
    <x:row r="24">
      <x:c r="A24" s="269" t="str">
        <x:v>BS-FY2025</x:v>
      </x:c>
      <x:c r="B24" s="269" t="str">
        <x:v>Balance sheet</x:v>
      </x:c>
      <x:c r="C24" s="329" t="n">
        <x:f>'Source Data'!I12</x:f>
        <x:v>6643.844</x:v>
      </x:c>
      <x:c r="D24" s="329" t="n">
        <x:f>'Source Data'!I13+'Source Data'!I16</x:f>
        <x:v>6643.844</x:v>
      </x:c>
      <x:c r="E24" s="329" t="n">
        <x:f>C24-D24</x:f>
        <x:v>0</x:v>
      </x:c>
      <x:c r="F24" s="329" t="n">
        <x:v>0.1</x:v>
      </x:c>
      <x:c r="G24" s="305" t="str">
        <x:f>IF(ABS(E24)&lt;=F24,"OK","CHECK")</x:f>
        <x:v>OK</x:v>
      </x:c>
      <x:c r="H24" s="271" t="str">
        <x:v>Total assets should equal total liabilities plus equity.</x:v>
      </x:c>
    </x:row>
    <x:row r="25">
      <x:c r="A25" s="269" t="str">
        <x:v>RCE-FY2025</x:v>
      </x:c>
      <x:c r="B25" s="269" t="str">
        <x:v>Reported CE</x:v>
      </x:c>
      <x:c r="C25" s="329" t="n">
        <x:f>'Capital Employed'!I11</x:f>
        <x:v>5052.443</x:v>
      </x:c>
      <x:c r="D25" s="329" t="n">
        <x:f>'Source Data'!I12-'Source Data'!I15</x:f>
        <x:v>5052.443</x:v>
      </x:c>
      <x:c r="E25" s="329" t="n">
        <x:f>C25-D25</x:f>
        <x:v>0</x:v>
      </x:c>
      <x:c r="F25" s="329" t="n">
        <x:v>0.1</x:v>
      </x:c>
      <x:c r="G25" s="305" t="str">
        <x:f>IF(ABS(E25)&lt;=F25,"OK","CHECK")</x:f>
        <x:v>OK</x:v>
      </x:c>
      <x:c r="H25" s="271" t="str">
        <x:v>Reported CE identity.</x:v>
      </x:c>
    </x:row>
    <x:row r="26">
      <x:c r="A26" s="269" t="str">
        <x:v>OCE-FY2025</x:v>
      </x:c>
      <x:c r="B26" s="269" t="str">
        <x:v>Operating CE</x:v>
      </x:c>
      <x:c r="C26" s="329" t="n">
        <x:f>'Capital Employed'!I22</x:f>
        <x:v>604.918159999999</x:v>
      </x:c>
      <x:c r="D26" s="329" t="n">
        <x:f>SUM('Capital Employed'!I14:I16)-'Capital Employed'!I17-'Capital Employed'!I18+'Capital Employed'!I21</x:f>
        <x:v>604.918159999999</x:v>
      </x:c>
      <x:c r="E26" s="329" t="n">
        <x:f>C26-D26</x:f>
        <x:v>0</x:v>
      </x:c>
      <x:c r="F26" s="329" t="n">
        <x:v>0.1</x:v>
      </x:c>
      <x:c r="G26" s="305" t="str">
        <x:f>IF(ABS(E26)&lt;=F26,"OK","CHECK")</x:f>
        <x:v>OK</x:v>
      </x:c>
      <x:c r="H26" s="271" t="str">
        <x:v>Financing bridge including retained operating cash.</x:v>
      </x:c>
    </x:row>
    <x:row r="27">
      <x:c r="A27" s="269" t="str">
        <x:v>BS-Q1 2026</x:v>
      </x:c>
      <x:c r="B27" s="269" t="str">
        <x:v>Balance sheet</x:v>
      </x:c>
      <x:c r="C27" s="329" t="n">
        <x:f>'Source Data'!J12</x:f>
        <x:v>6952.012</x:v>
      </x:c>
      <x:c r="D27" s="329" t="n">
        <x:f>'Source Data'!J13+'Source Data'!J16</x:f>
        <x:v>6952.012000000001</x:v>
      </x:c>
      <x:c r="E27" s="329" t="n">
        <x:f>C27-D27</x:f>
        <x:v>-9.094947017729282e-13</x:v>
      </x:c>
      <x:c r="F27" s="329" t="n">
        <x:v>0.1</x:v>
      </x:c>
      <x:c r="G27" s="305" t="str">
        <x:f>IF(ABS(E27)&lt;=F27,"OK","CHECK")</x:f>
        <x:v>OK</x:v>
      </x:c>
      <x:c r="H27" s="271" t="str">
        <x:v>Total assets should equal total liabilities plus equity.</x:v>
      </x:c>
    </x:row>
    <x:row r="28">
      <x:c r="A28" s="269" t="str">
        <x:v>RCE-Q1 2026</x:v>
      </x:c>
      <x:c r="B28" s="269" t="str">
        <x:v>Reported CE</x:v>
      </x:c>
      <x:c r="C28" s="329" t="n">
        <x:f>'Capital Employed'!J11</x:f>
        <x:v>5296.1089999999995</x:v>
      </x:c>
      <x:c r="D28" s="329" t="n">
        <x:f>'Source Data'!J12-'Source Data'!J15</x:f>
        <x:v>5296.1089999999995</x:v>
      </x:c>
      <x:c r="E28" s="329" t="n">
        <x:f>C28-D28</x:f>
        <x:v>0</x:v>
      </x:c>
      <x:c r="F28" s="329" t="n">
        <x:v>0.1</x:v>
      </x:c>
      <x:c r="G28" s="305" t="str">
        <x:f>IF(ABS(E28)&lt;=F28,"OK","CHECK")</x:f>
        <x:v>OK</x:v>
      </x:c>
      <x:c r="H28" s="271" t="str">
        <x:v>Reported CE identity.</x:v>
      </x:c>
    </x:row>
    <x:row r="29">
      <x:c r="A29" s="269" t="str">
        <x:v>OCE-Q1 2026</x:v>
      </x:c>
      <x:c r="B29" s="269" t="str">
        <x:v>Operating CE</x:v>
      </x:c>
      <x:c r="C29" s="329" t="n">
        <x:f>'Capital Employed'!J22</x:f>
        <x:v>588.0976200000001</x:v>
      </x:c>
      <x:c r="D29" s="329" t="n">
        <x:f>SUM('Capital Employed'!J14:J16)-'Capital Employed'!J17-'Capital Employed'!J18+'Capital Employed'!J21</x:f>
        <x:v>588.0976200000001</x:v>
      </x:c>
      <x:c r="E29" s="329" t="n">
        <x:f>C29-D29</x:f>
        <x:v>0</x:v>
      </x:c>
      <x:c r="F29" s="329" t="n">
        <x:v>0.1</x:v>
      </x:c>
      <x:c r="G29" s="305" t="str">
        <x:f>IF(ABS(E29)&lt;=F29,"OK","CHECK")</x:f>
        <x:v>OK</x:v>
      </x:c>
      <x:c r="H29" s="271" t="str">
        <x:v>Financing bridge including retained operating cash.</x:v>
      </x:c>
    </x:row>
    <x:row r="30">
      <x:c r="A30" s="269" t="str">
        <x:v>RND-FY2020</x:v>
      </x:c>
      <x:c r="B30" s="269" t="str">
        <x:v>R&amp;D roll-forward</x:v>
      </x:c>
      <x:c r="C30" s="329" t="n">
        <x:f>'R&amp;D Adjustment'!D23</x:f>
        <x:v>327.96625</x:v>
      </x:c>
      <x:c r="D30" s="329" t="n">
        <x:f>'R&amp;D Adjustment'!C23+'R&amp;D Adjustment'!D7-'R&amp;D Adjustment'!D24</x:f>
        <x:v>327.96625</x:v>
      </x:c>
      <x:c r="E30" s="329" t="n">
        <x:f>C30-D30</x:f>
        <x:v>0</x:v>
      </x:c>
      <x:c r="F30" s="329" t="n">
        <x:v>0.1</x:v>
      </x:c>
      <x:c r="G30" s="305" t="str">
        <x:f>IF(ABS(E30)&lt;=F30,"OK","CHECK")</x:f>
        <x:v>OK</x:v>
      </x:c>
      <x:c r="H30" s="271" t="str">
        <x:v>Beginning research asset + investment − amortization = ending research asset.</x:v>
      </x:c>
    </x:row>
    <x:row r="31">
      <x:c r="A31" s="269" t="str">
        <x:v>RND-FY2021</x:v>
      </x:c>
      <x:c r="B31" s="269" t="str">
        <x:v>R&amp;D roll-forward</x:v>
      </x:c>
      <x:c r="C31" s="329" t="n">
        <x:f>'R&amp;D Adjustment'!E23</x:f>
        <x:v>647.245</x:v>
      </x:c>
      <x:c r="D31" s="329" t="n">
        <x:f>'R&amp;D Adjustment'!D23+'R&amp;D Adjustment'!E7-'R&amp;D Adjustment'!E24</x:f>
        <x:v>647.245</x:v>
      </x:c>
      <x:c r="E31" s="329" t="n">
        <x:f>C31-D31</x:f>
        <x:v>0</x:v>
      </x:c>
      <x:c r="F31" s="329" t="n">
        <x:v>0.1</x:v>
      </x:c>
      <x:c r="G31" s="305" t="str">
        <x:f>IF(ABS(E31)&lt;=F31,"OK","CHECK")</x:f>
        <x:v>OK</x:v>
      </x:c>
      <x:c r="H31" s="271" t="str">
        <x:v>Beginning research asset + investment − amortization = ending research asset.</x:v>
      </x:c>
    </x:row>
    <x:row r="32">
      <x:c r="A32" s="269" t="str">
        <x:v>RND-FY2022</x:v>
      </x:c>
      <x:c r="B32" s="269" t="str">
        <x:v>R&amp;D roll-forward</x:v>
      </x:c>
      <x:c r="C32" s="329" t="n">
        <x:f>'R&amp;D Adjustment'!F23</x:f>
        <x:v>1200.347</x:v>
      </x:c>
      <x:c r="D32" s="329" t="n">
        <x:f>'R&amp;D Adjustment'!E23+'R&amp;D Adjustment'!F7-'R&amp;D Adjustment'!F24</x:f>
        <x:v>1200.347</x:v>
      </x:c>
      <x:c r="E32" s="329" t="n">
        <x:f>C32-D32</x:f>
        <x:v>0</x:v>
      </x:c>
      <x:c r="F32" s="329" t="n">
        <x:v>0.1</x:v>
      </x:c>
      <x:c r="G32" s="305" t="str">
        <x:f>IF(ABS(E32)&lt;=F32,"OK","CHECK")</x:f>
        <x:v>OK</x:v>
      </x:c>
      <x:c r="H32" s="271" t="str">
        <x:v>Beginning research asset + investment − amortization = ending research asset.</x:v>
      </x:c>
    </x:row>
    <x:row r="33">
      <x:c r="A33" s="269" t="str">
        <x:v>RND-FY2023</x:v>
      </x:c>
      <x:c r="B33" s="269" t="str">
        <x:v>R&amp;D roll-forward</x:v>
      </x:c>
      <x:c r="C33" s="329" t="n">
        <x:f>'R&amp;D Adjustment'!G23</x:f>
        <x:v>1789.2512499999998</x:v>
      </x:c>
      <x:c r="D33" s="329" t="n">
        <x:f>'R&amp;D Adjustment'!F23+'R&amp;D Adjustment'!G7-'R&amp;D Adjustment'!G24</x:f>
        <x:v>1789.2512499999998</x:v>
      </x:c>
      <x:c r="E33" s="329" t="n">
        <x:f>C33-D33</x:f>
        <x:v>0</x:v>
      </x:c>
      <x:c r="F33" s="329" t="n">
        <x:v>0.1</x:v>
      </x:c>
      <x:c r="G33" s="305" t="str">
        <x:f>IF(ABS(E33)&lt;=F33,"OK","CHECK")</x:f>
        <x:v>OK</x:v>
      </x:c>
      <x:c r="H33" s="271" t="str">
        <x:v>Beginning research asset + investment − amortization = ending research asset.</x:v>
      </x:c>
    </x:row>
    <x:row r="34">
      <x:c r="A34" s="269" t="str">
        <x:v>RND-FY2024</x:v>
      </x:c>
      <x:c r="B34" s="269" t="str">
        <x:v>R&amp;D roll-forward</x:v>
      </x:c>
      <x:c r="C34" s="329" t="n">
        <x:f>'R&amp;D Adjustment'!H23</x:f>
        <x:v>2355.656</x:v>
      </x:c>
      <x:c r="D34" s="329" t="n">
        <x:f>'R&amp;D Adjustment'!G23+'R&amp;D Adjustment'!H7-'R&amp;D Adjustment'!H24</x:f>
        <x:v>2355.656</x:v>
      </x:c>
      <x:c r="E34" s="329" t="n">
        <x:f>C34-D34</x:f>
        <x:v>0</x:v>
      </x:c>
      <x:c r="F34" s="329" t="n">
        <x:v>0.1</x:v>
      </x:c>
      <x:c r="G34" s="305" t="str">
        <x:f>IF(ABS(E34)&lt;=F34,"OK","CHECK")</x:f>
        <x:v>OK</x:v>
      </x:c>
      <x:c r="H34" s="271" t="str">
        <x:v>Beginning research asset + investment − amortization = ending research asset.</x:v>
      </x:c>
    </x:row>
    <x:row r="35">
      <x:c r="A35" s="269" t="str">
        <x:v>RND-FY2025</x:v>
      </x:c>
      <x:c r="B35" s="269" t="str">
        <x:v>R&amp;D roll-forward</x:v>
      </x:c>
      <x:c r="C35" s="329" t="n">
        <x:f>'R&amp;D Adjustment'!I23</x:f>
        <x:v>3082.2895</x:v>
      </x:c>
      <x:c r="D35" s="329" t="n">
        <x:f>'R&amp;D Adjustment'!H23+'R&amp;D Adjustment'!I7-'R&amp;D Adjustment'!I24</x:f>
        <x:v>3082.2895</x:v>
      </x:c>
      <x:c r="E35" s="329" t="n">
        <x:f>C35-D35</x:f>
        <x:v>0</x:v>
      </x:c>
      <x:c r="F35" s="329" t="n">
        <x:v>0.1</x:v>
      </x:c>
      <x:c r="G35" s="305" t="str">
        <x:f>IF(ABS(E35)&lt;=F35,"OK","CHECK")</x:f>
        <x:v>OK</x:v>
      </x:c>
      <x:c r="H35" s="271" t="str">
        <x:v>Beginning research asset + investment − amortization = ending research asset.</x:v>
      </x:c>
    </x:row>
    <x:row r="36">
      <x:c r="A36" s="269" t="str">
        <x:v>RND-Q1 2026</x:v>
      </x:c>
      <x:c r="B36" s="269" t="str">
        <x:v>R&amp;D roll-forward</x:v>
      </x:c>
      <x:c r="C36" s="329" t="n">
        <x:f>'R&amp;D Adjustment'!J23</x:f>
        <x:v>3241.5905000000002</x:v>
      </x:c>
      <x:c r="D36" s="329" t="n">
        <x:f>'R&amp;D Adjustment'!I23+'R&amp;D Adjustment'!J7-'R&amp;D Adjustment'!J24</x:f>
        <x:v>3241.5905000000002</x:v>
      </x:c>
      <x:c r="E36" s="329" t="n">
        <x:f>C36-D36</x:f>
        <x:v>0</x:v>
      </x:c>
      <x:c r="F36" s="329" t="n">
        <x:v>0.1</x:v>
      </x:c>
      <x:c r="G36" s="305" t="str">
        <x:f>IF(ABS(E36)&lt;=F36,"OK","CHECK")</x:f>
        <x:v>OK</x:v>
      </x:c>
      <x:c r="H36" s="271" t="str">
        <x:v>Beginning research asset + investment − amortization = ending research asset.</x:v>
      </x:c>
    </x:row>
    <x:row r="37">
      <x:c r="A37" s="269" t="str">
        <x:v>ROIC-FY2022</x:v>
      </x:c>
      <x:c r="B37" s="269" t="str">
        <x:v>ROIC</x:v>
      </x:c>
      <x:c r="C37" s="294" t="n">
        <x:f>'Capital Employed'!F50</x:f>
        <x:v>0.3051571163129552</x:v>
      </x:c>
      <x:c r="D37" s="294" t="n">
        <x:f>'Capital Employed'!F43*(1-'Assumptions'!$B$8)</x:f>
        <x:v>0.3051571163129552</x:v>
      </x:c>
      <x:c r="E37" s="294" t="n">
        <x:f>C37-D37</x:f>
        <x:v>0</x:v>
      </x:c>
      <x:c r="F37" s="294" t="n">
        <x:v>0.0001</x:v>
      </x:c>
      <x:c r="G37" s="305" t="str">
        <x:f>IF(ABS(E37)&lt;=F37,"OK","CHECK")</x:f>
        <x:v>OK</x:v>
      </x:c>
      <x:c r="H37" s="271" t="str">
        <x:v>R&amp;D-adjusted ROIC should equal pre-tax adjusted ROCE multiplied by one minus the normalized tax rate.</x:v>
      </x:c>
    </x:row>
    <x:row r="38">
      <x:c r="A38" s="269" t="str">
        <x:v>ROIC-FY2023</x:v>
      </x:c>
      <x:c r="B38" s="269" t="str">
        <x:v>ROIC</x:v>
      </x:c>
      <x:c r="C38" s="294" t="n">
        <x:f>'Capital Employed'!G50</x:f>
        <x:v>0.2325273690074696</x:v>
      </x:c>
      <x:c r="D38" s="294" t="n">
        <x:f>'Capital Employed'!G43*(1-'Assumptions'!$B$8)</x:f>
        <x:v>0.2325273690074696</x:v>
      </x:c>
      <x:c r="E38" s="294" t="n">
        <x:f>C38-D38</x:f>
        <x:v>0</x:v>
      </x:c>
      <x:c r="F38" s="294" t="n">
        <x:v>0.0001</x:v>
      </x:c>
      <x:c r="G38" s="305" t="str">
        <x:f>IF(ABS(E38)&lt;=F38,"OK","CHECK")</x:f>
        <x:v>OK</x:v>
      </x:c>
      <x:c r="H38" s="271" t="str">
        <x:v>R&amp;D-adjusted ROIC should equal pre-tax adjusted ROCE multiplied by one minus the normalized tax rate.</x:v>
      </x:c>
    </x:row>
    <x:row r="39">
      <x:c r="A39" s="269" t="str">
        <x:v>ROIC-FY2024</x:v>
      </x:c>
      <x:c r="B39" s="269" t="str">
        <x:v>ROIC</x:v>
      </x:c>
      <x:c r="C39" s="294" t="n">
        <x:f>'Capital Employed'!H50</x:f>
        <x:v>0.1979813690693344</x:v>
      </x:c>
      <x:c r="D39" s="294" t="n">
        <x:f>'Capital Employed'!H43*(1-'Assumptions'!$B$8)</x:f>
        <x:v>0.1979813690693344</x:v>
      </x:c>
      <x:c r="E39" s="294" t="n">
        <x:f>C39-D39</x:f>
        <x:v>0</x:v>
      </x:c>
      <x:c r="F39" s="294" t="n">
        <x:v>0.0001</x:v>
      </x:c>
      <x:c r="G39" s="305" t="str">
        <x:f>IF(ABS(E39)&lt;=F39,"OK","CHECK")</x:f>
        <x:v>OK</x:v>
      </x:c>
      <x:c r="H39" s="271" t="str">
        <x:v>R&amp;D-adjusted ROIC should equal pre-tax adjusted ROCE multiplied by one minus the normalized tax rate.</x:v>
      </x:c>
    </x:row>
    <x:row r="40">
      <x:c r="A40" s="269" t="str">
        <x:v>ROIC-FY2025</x:v>
      </x:c>
      <x:c r="B40" s="269" t="str">
        <x:v>ROIC</x:v>
      </x:c>
      <x:c r="C40" s="294" t="n">
        <x:f>'Capital Employed'!I50</x:f>
        <x:v>0.166764551374919</x:v>
      </x:c>
      <x:c r="D40" s="294" t="n">
        <x:f>'Capital Employed'!I43*(1-'Assumptions'!$B$8)</x:f>
        <x:v>0.166764551374919</x:v>
      </x:c>
      <x:c r="E40" s="294" t="n">
        <x:f>C40-D40</x:f>
        <x:v>0</x:v>
      </x:c>
      <x:c r="F40" s="294" t="n">
        <x:v>0.0001</x:v>
      </x:c>
      <x:c r="G40" s="305" t="str">
        <x:f>IF(ABS(E40)&lt;=F40,"OK","CHECK")</x:f>
        <x:v>OK</x:v>
      </x:c>
      <x:c r="H40" s="271" t="str">
        <x:v>R&amp;D-adjusted ROIC should equal pre-tax adjusted ROCE multiplied by one minus the normalized tax rate.</x:v>
      </x:c>
    </x:row>
  </x:sheetData>
  <x:mergeCells>
    <x:mergeCell ref="A1:H1"/>
  </x:mergeCells>
  <x:conditionalFormatting sqref="G6:G40">
    <x:cfRule type="containsText" dxfId="1" priority="1" operator="containsText" text="OK"/>
    <x:cfRule type="containsText" dxfId="2" priority="2" operator="containsText" text="CHECK"/>
  </x:conditionalFormatting>
  <x:conditionalFormatting sqref="B2:B2">
    <x:cfRule type="containsText" dxfId="3" priority="3" operator="containsText" text="OK"/>
    <x:cfRule type="containsText" dxfId="4" priority="4" operator="containsText" text="CHECK"/>
  </x:conditionalFormatting>
  <x:pageMargins left="0.7" right="0.7" top="0.75" bottom="0.75" header="0.3" footer="0.3"/>
</x:worksheet>
</file>